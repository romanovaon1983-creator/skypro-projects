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kyPro\ТЗ  SQL1\"/>
    </mc:Choice>
  </mc:AlternateContent>
  <xr:revisionPtr revIDLastSave="0" documentId="13_ncr:1_{188D34D3-FA60-418A-87D2-A50812189DDB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MAU" sheetId="3" r:id="rId1"/>
    <sheet name="WAU" sheetId="2" r:id="rId2"/>
    <sheet name="DAU" sheetId="4" r:id="rId3"/>
    <sheet name="Визуализация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" i="1"/>
  <c r="A3" i="3"/>
  <c r="A4" i="3"/>
  <c r="A5" i="3"/>
  <c r="A6" i="3"/>
  <c r="A7" i="3"/>
  <c r="A8" i="3"/>
  <c r="A9" i="3"/>
  <c r="A10" i="3"/>
  <c r="A2" i="3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" i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2" i="2"/>
  <c r="B3" i="1" l="1"/>
  <c r="E3" i="1" s="1"/>
  <c r="B4" i="1"/>
  <c r="E4" i="1" s="1"/>
  <c r="B5" i="1"/>
  <c r="E5" i="1" s="1"/>
  <c r="B6" i="1"/>
  <c r="E6" i="1" s="1"/>
  <c r="B7" i="1"/>
  <c r="E7" i="1" s="1"/>
  <c r="B8" i="1"/>
  <c r="E8" i="1" s="1"/>
  <c r="B9" i="1"/>
  <c r="E9" i="1" s="1"/>
  <c r="B10" i="1"/>
  <c r="E10" i="1" s="1"/>
  <c r="B11" i="1"/>
  <c r="E11" i="1" s="1"/>
  <c r="B12" i="1"/>
  <c r="E12" i="1" s="1"/>
  <c r="B13" i="1"/>
  <c r="E13" i="1" s="1"/>
  <c r="B14" i="1"/>
  <c r="E14" i="1" s="1"/>
  <c r="B15" i="1"/>
  <c r="E15" i="1" s="1"/>
  <c r="B16" i="1"/>
  <c r="E16" i="1" s="1"/>
  <c r="B17" i="1"/>
  <c r="E17" i="1" s="1"/>
  <c r="B18" i="1"/>
  <c r="E18" i="1" s="1"/>
  <c r="B19" i="1"/>
  <c r="E19" i="1" s="1"/>
  <c r="B20" i="1"/>
  <c r="E20" i="1" s="1"/>
  <c r="B21" i="1"/>
  <c r="E21" i="1" s="1"/>
  <c r="B22" i="1"/>
  <c r="E22" i="1" s="1"/>
  <c r="B23" i="1"/>
  <c r="E23" i="1" s="1"/>
  <c r="B24" i="1"/>
  <c r="E24" i="1" s="1"/>
  <c r="B25" i="1"/>
  <c r="E25" i="1" s="1"/>
  <c r="B26" i="1"/>
  <c r="E26" i="1" s="1"/>
  <c r="B27" i="1"/>
  <c r="E27" i="1" s="1"/>
  <c r="B28" i="1"/>
  <c r="E28" i="1" s="1"/>
  <c r="B29" i="1"/>
  <c r="E29" i="1" s="1"/>
  <c r="B30" i="1"/>
  <c r="E30" i="1" s="1"/>
  <c r="B31" i="1"/>
  <c r="E31" i="1" s="1"/>
  <c r="B32" i="1"/>
  <c r="E32" i="1" s="1"/>
  <c r="B33" i="1"/>
  <c r="E33" i="1" s="1"/>
  <c r="B34" i="1"/>
  <c r="E34" i="1" s="1"/>
  <c r="B35" i="1"/>
  <c r="E35" i="1" s="1"/>
  <c r="B36" i="1"/>
  <c r="E36" i="1" s="1"/>
  <c r="B37" i="1"/>
  <c r="E37" i="1" s="1"/>
  <c r="B38" i="1"/>
  <c r="E38" i="1" s="1"/>
  <c r="B39" i="1"/>
  <c r="E39" i="1" s="1"/>
  <c r="B40" i="1"/>
  <c r="E40" i="1" s="1"/>
  <c r="B41" i="1"/>
  <c r="E41" i="1" s="1"/>
  <c r="B42" i="1"/>
  <c r="E42" i="1" s="1"/>
  <c r="B43" i="1"/>
  <c r="E43" i="1" s="1"/>
  <c r="B44" i="1"/>
  <c r="E44" i="1" s="1"/>
  <c r="B45" i="1"/>
  <c r="E45" i="1" s="1"/>
  <c r="B46" i="1"/>
  <c r="E46" i="1" s="1"/>
  <c r="B47" i="1"/>
  <c r="E47" i="1" s="1"/>
  <c r="B48" i="1"/>
  <c r="E48" i="1" s="1"/>
  <c r="B49" i="1"/>
  <c r="E49" i="1" s="1"/>
  <c r="B50" i="1"/>
  <c r="E50" i="1" s="1"/>
  <c r="B51" i="1"/>
  <c r="E51" i="1" s="1"/>
  <c r="B52" i="1"/>
  <c r="E52" i="1" s="1"/>
  <c r="B53" i="1"/>
  <c r="E53" i="1" s="1"/>
  <c r="B54" i="1"/>
  <c r="E54" i="1" s="1"/>
  <c r="B55" i="1"/>
  <c r="E55" i="1" s="1"/>
  <c r="B56" i="1"/>
  <c r="E56" i="1" s="1"/>
  <c r="B57" i="1"/>
  <c r="E57" i="1" s="1"/>
  <c r="B58" i="1"/>
  <c r="E58" i="1" s="1"/>
  <c r="B59" i="1"/>
  <c r="E59" i="1" s="1"/>
  <c r="B60" i="1"/>
  <c r="E60" i="1" s="1"/>
  <c r="B61" i="1"/>
  <c r="E61" i="1" s="1"/>
  <c r="B62" i="1"/>
  <c r="E62" i="1" s="1"/>
  <c r="B63" i="1"/>
  <c r="E63" i="1" s="1"/>
  <c r="B64" i="1"/>
  <c r="E64" i="1" s="1"/>
  <c r="B65" i="1"/>
  <c r="E65" i="1" s="1"/>
  <c r="B66" i="1"/>
  <c r="E66" i="1" s="1"/>
  <c r="B67" i="1"/>
  <c r="E67" i="1" s="1"/>
  <c r="B68" i="1"/>
  <c r="E68" i="1" s="1"/>
  <c r="B69" i="1"/>
  <c r="E69" i="1" s="1"/>
  <c r="B70" i="1"/>
  <c r="E70" i="1" s="1"/>
  <c r="B71" i="1"/>
  <c r="E71" i="1" s="1"/>
  <c r="B72" i="1"/>
  <c r="E72" i="1" s="1"/>
  <c r="B73" i="1"/>
  <c r="E73" i="1" s="1"/>
  <c r="B74" i="1"/>
  <c r="E74" i="1" s="1"/>
  <c r="B75" i="1"/>
  <c r="E75" i="1" s="1"/>
  <c r="B76" i="1"/>
  <c r="E76" i="1" s="1"/>
  <c r="B77" i="1"/>
  <c r="E77" i="1" s="1"/>
  <c r="B78" i="1"/>
  <c r="E78" i="1" s="1"/>
  <c r="B79" i="1"/>
  <c r="E79" i="1" s="1"/>
  <c r="B80" i="1"/>
  <c r="E80" i="1" s="1"/>
  <c r="B81" i="1"/>
  <c r="E81" i="1" s="1"/>
  <c r="B82" i="1"/>
  <c r="E82" i="1" s="1"/>
  <c r="B83" i="1"/>
  <c r="E83" i="1" s="1"/>
  <c r="B84" i="1"/>
  <c r="E84" i="1" s="1"/>
  <c r="B85" i="1"/>
  <c r="E85" i="1" s="1"/>
  <c r="B86" i="1"/>
  <c r="E86" i="1" s="1"/>
  <c r="B87" i="1"/>
  <c r="E87" i="1" s="1"/>
  <c r="B88" i="1"/>
  <c r="E88" i="1" s="1"/>
  <c r="B89" i="1"/>
  <c r="E89" i="1" s="1"/>
  <c r="B90" i="1"/>
  <c r="E90" i="1" s="1"/>
  <c r="B91" i="1"/>
  <c r="E91" i="1" s="1"/>
  <c r="B92" i="1"/>
  <c r="E92" i="1" s="1"/>
  <c r="B93" i="1"/>
  <c r="E93" i="1" s="1"/>
  <c r="B94" i="1"/>
  <c r="E94" i="1" s="1"/>
  <c r="B95" i="1"/>
  <c r="E95" i="1" s="1"/>
  <c r="B96" i="1"/>
  <c r="E96" i="1" s="1"/>
  <c r="B97" i="1"/>
  <c r="E97" i="1" s="1"/>
  <c r="B98" i="1"/>
  <c r="E98" i="1" s="1"/>
  <c r="B99" i="1"/>
  <c r="E99" i="1" s="1"/>
  <c r="B100" i="1"/>
  <c r="E100" i="1" s="1"/>
  <c r="B101" i="1"/>
  <c r="E101" i="1" s="1"/>
  <c r="B102" i="1"/>
  <c r="E102" i="1" s="1"/>
  <c r="B103" i="1"/>
  <c r="E103" i="1" s="1"/>
  <c r="B104" i="1"/>
  <c r="E104" i="1" s="1"/>
  <c r="B105" i="1"/>
  <c r="E105" i="1" s="1"/>
  <c r="B106" i="1"/>
  <c r="E106" i="1" s="1"/>
  <c r="B107" i="1"/>
  <c r="E107" i="1" s="1"/>
  <c r="B108" i="1"/>
  <c r="E108" i="1" s="1"/>
  <c r="B109" i="1"/>
  <c r="E109" i="1" s="1"/>
  <c r="B110" i="1"/>
  <c r="E110" i="1" s="1"/>
  <c r="B111" i="1"/>
  <c r="E111" i="1" s="1"/>
  <c r="B112" i="1"/>
  <c r="E112" i="1" s="1"/>
  <c r="B113" i="1"/>
  <c r="E113" i="1" s="1"/>
  <c r="B114" i="1"/>
  <c r="E114" i="1" s="1"/>
  <c r="B115" i="1"/>
  <c r="E115" i="1" s="1"/>
  <c r="B116" i="1"/>
  <c r="E116" i="1" s="1"/>
  <c r="B117" i="1"/>
  <c r="E117" i="1" s="1"/>
  <c r="B118" i="1"/>
  <c r="E118" i="1" s="1"/>
  <c r="B119" i="1"/>
  <c r="E119" i="1" s="1"/>
  <c r="B120" i="1"/>
  <c r="E120" i="1" s="1"/>
  <c r="B121" i="1"/>
  <c r="E121" i="1" s="1"/>
  <c r="B122" i="1"/>
  <c r="E122" i="1" s="1"/>
  <c r="B123" i="1"/>
  <c r="E123" i="1" s="1"/>
  <c r="B124" i="1"/>
  <c r="E124" i="1" s="1"/>
  <c r="B125" i="1"/>
  <c r="E125" i="1" s="1"/>
  <c r="B126" i="1"/>
  <c r="E126" i="1" s="1"/>
  <c r="B127" i="1"/>
  <c r="E127" i="1" s="1"/>
  <c r="B128" i="1"/>
  <c r="E128" i="1" s="1"/>
  <c r="B129" i="1"/>
  <c r="E129" i="1" s="1"/>
  <c r="B130" i="1"/>
  <c r="E130" i="1" s="1"/>
  <c r="B131" i="1"/>
  <c r="E131" i="1" s="1"/>
  <c r="B132" i="1"/>
  <c r="E132" i="1" s="1"/>
  <c r="B133" i="1"/>
  <c r="E133" i="1" s="1"/>
  <c r="B134" i="1"/>
  <c r="E134" i="1" s="1"/>
  <c r="B135" i="1"/>
  <c r="E135" i="1" s="1"/>
  <c r="B136" i="1"/>
  <c r="E136" i="1" s="1"/>
  <c r="B137" i="1"/>
  <c r="E137" i="1" s="1"/>
  <c r="B138" i="1"/>
  <c r="E138" i="1" s="1"/>
  <c r="B139" i="1"/>
  <c r="E139" i="1" s="1"/>
  <c r="B140" i="1"/>
  <c r="E140" i="1" s="1"/>
  <c r="B141" i="1"/>
  <c r="E141" i="1" s="1"/>
  <c r="B142" i="1"/>
  <c r="E142" i="1" s="1"/>
  <c r="B143" i="1"/>
  <c r="E143" i="1" s="1"/>
  <c r="B144" i="1"/>
  <c r="E144" i="1" s="1"/>
  <c r="B145" i="1"/>
  <c r="E145" i="1" s="1"/>
  <c r="B146" i="1"/>
  <c r="E146" i="1" s="1"/>
  <c r="B147" i="1"/>
  <c r="E147" i="1" s="1"/>
  <c r="B148" i="1"/>
  <c r="E148" i="1" s="1"/>
  <c r="B149" i="1"/>
  <c r="E149" i="1" s="1"/>
  <c r="B150" i="1"/>
  <c r="E150" i="1" s="1"/>
  <c r="B151" i="1"/>
  <c r="E151" i="1" s="1"/>
  <c r="B152" i="1"/>
  <c r="E152" i="1" s="1"/>
  <c r="B153" i="1"/>
  <c r="E153" i="1" s="1"/>
  <c r="B154" i="1"/>
  <c r="E154" i="1" s="1"/>
  <c r="B155" i="1"/>
  <c r="E155" i="1" s="1"/>
  <c r="B156" i="1"/>
  <c r="E156" i="1" s="1"/>
  <c r="B157" i="1"/>
  <c r="E157" i="1" s="1"/>
  <c r="B158" i="1"/>
  <c r="E158" i="1" s="1"/>
  <c r="B159" i="1"/>
  <c r="E159" i="1" s="1"/>
  <c r="B160" i="1"/>
  <c r="E160" i="1" s="1"/>
  <c r="B161" i="1"/>
  <c r="E161" i="1" s="1"/>
  <c r="B162" i="1"/>
  <c r="E162" i="1" s="1"/>
  <c r="B163" i="1"/>
  <c r="E163" i="1" s="1"/>
  <c r="B164" i="1"/>
  <c r="E164" i="1" s="1"/>
  <c r="B165" i="1"/>
  <c r="E165" i="1" s="1"/>
  <c r="B166" i="1"/>
  <c r="E166" i="1" s="1"/>
  <c r="B167" i="1"/>
  <c r="E167" i="1" s="1"/>
  <c r="B168" i="1"/>
  <c r="E168" i="1" s="1"/>
  <c r="B169" i="1"/>
  <c r="E169" i="1" s="1"/>
  <c r="B170" i="1"/>
  <c r="E170" i="1" s="1"/>
  <c r="B171" i="1"/>
  <c r="E171" i="1" s="1"/>
  <c r="B172" i="1"/>
  <c r="E172" i="1" s="1"/>
  <c r="B173" i="1"/>
  <c r="E173" i="1" s="1"/>
  <c r="B174" i="1"/>
  <c r="E174" i="1" s="1"/>
  <c r="B175" i="1"/>
  <c r="E175" i="1" s="1"/>
  <c r="B176" i="1"/>
  <c r="E176" i="1" s="1"/>
  <c r="B177" i="1"/>
  <c r="E177" i="1" s="1"/>
  <c r="B178" i="1"/>
  <c r="E178" i="1" s="1"/>
  <c r="B179" i="1"/>
  <c r="E179" i="1" s="1"/>
  <c r="B180" i="1"/>
  <c r="E180" i="1" s="1"/>
  <c r="B181" i="1"/>
  <c r="E181" i="1" s="1"/>
  <c r="B182" i="1"/>
  <c r="E182" i="1" s="1"/>
  <c r="B183" i="1"/>
  <c r="E183" i="1" s="1"/>
  <c r="B184" i="1"/>
  <c r="E184" i="1" s="1"/>
  <c r="B185" i="1"/>
  <c r="E185" i="1" s="1"/>
  <c r="B186" i="1"/>
  <c r="E186" i="1" s="1"/>
  <c r="B187" i="1"/>
  <c r="E187" i="1" s="1"/>
  <c r="B188" i="1"/>
  <c r="E188" i="1" s="1"/>
  <c r="B189" i="1"/>
  <c r="E189" i="1" s="1"/>
  <c r="B190" i="1"/>
  <c r="E190" i="1" s="1"/>
  <c r="B191" i="1"/>
  <c r="E191" i="1" s="1"/>
  <c r="B192" i="1"/>
  <c r="E192" i="1" s="1"/>
  <c r="B193" i="1"/>
  <c r="E193" i="1" s="1"/>
  <c r="B194" i="1"/>
  <c r="E194" i="1" s="1"/>
  <c r="B195" i="1"/>
  <c r="E195" i="1" s="1"/>
  <c r="B196" i="1"/>
  <c r="E196" i="1" s="1"/>
  <c r="B197" i="1"/>
  <c r="E197" i="1" s="1"/>
  <c r="B198" i="1"/>
  <c r="E198" i="1" s="1"/>
  <c r="B199" i="1"/>
  <c r="E199" i="1" s="1"/>
  <c r="B200" i="1"/>
  <c r="E200" i="1" s="1"/>
  <c r="B201" i="1"/>
  <c r="E201" i="1" s="1"/>
  <c r="B202" i="1"/>
  <c r="E202" i="1" s="1"/>
  <c r="B203" i="1"/>
  <c r="E203" i="1" s="1"/>
  <c r="B204" i="1"/>
  <c r="E204" i="1" s="1"/>
  <c r="B205" i="1"/>
  <c r="E205" i="1" s="1"/>
  <c r="B206" i="1"/>
  <c r="E206" i="1" s="1"/>
  <c r="B207" i="1"/>
  <c r="E207" i="1" s="1"/>
  <c r="B208" i="1"/>
  <c r="E208" i="1" s="1"/>
  <c r="B209" i="1"/>
  <c r="E209" i="1" s="1"/>
  <c r="B210" i="1"/>
  <c r="E210" i="1" s="1"/>
  <c r="B211" i="1"/>
  <c r="E211" i="1" s="1"/>
  <c r="B212" i="1"/>
  <c r="E212" i="1" s="1"/>
  <c r="B213" i="1"/>
  <c r="E213" i="1" s="1"/>
  <c r="B214" i="1"/>
  <c r="E214" i="1" s="1"/>
  <c r="B215" i="1"/>
  <c r="E215" i="1" s="1"/>
  <c r="B216" i="1"/>
  <c r="E216" i="1" s="1"/>
  <c r="B217" i="1"/>
  <c r="E217" i="1" s="1"/>
  <c r="B218" i="1"/>
  <c r="E218" i="1" s="1"/>
  <c r="B219" i="1"/>
  <c r="E219" i="1" s="1"/>
  <c r="B220" i="1"/>
  <c r="E220" i="1" s="1"/>
  <c r="B221" i="1"/>
  <c r="E221" i="1" s="1"/>
  <c r="B222" i="1"/>
  <c r="E222" i="1" s="1"/>
  <c r="B223" i="1"/>
  <c r="E223" i="1" s="1"/>
  <c r="B224" i="1"/>
  <c r="E224" i="1" s="1"/>
  <c r="B225" i="1"/>
  <c r="E225" i="1" s="1"/>
  <c r="B226" i="1"/>
  <c r="E226" i="1" s="1"/>
  <c r="B227" i="1"/>
  <c r="E227" i="1" s="1"/>
  <c r="B228" i="1"/>
  <c r="E228" i="1" s="1"/>
  <c r="B229" i="1"/>
  <c r="E229" i="1" s="1"/>
  <c r="B230" i="1"/>
  <c r="E230" i="1" s="1"/>
  <c r="B231" i="1"/>
  <c r="E231" i="1" s="1"/>
  <c r="B232" i="1"/>
  <c r="E232" i="1" s="1"/>
  <c r="B233" i="1"/>
  <c r="E233" i="1" s="1"/>
  <c r="B234" i="1"/>
  <c r="E234" i="1" s="1"/>
  <c r="B235" i="1"/>
  <c r="E235" i="1" s="1"/>
  <c r="B236" i="1"/>
  <c r="E236" i="1" s="1"/>
  <c r="B237" i="1"/>
  <c r="E237" i="1" s="1"/>
  <c r="B238" i="1"/>
  <c r="E238" i="1" s="1"/>
  <c r="B239" i="1"/>
  <c r="E239" i="1" s="1"/>
  <c r="B240" i="1"/>
  <c r="E240" i="1" s="1"/>
  <c r="B241" i="1"/>
  <c r="E241" i="1" s="1"/>
  <c r="B242" i="1"/>
  <c r="E242" i="1" s="1"/>
  <c r="B243" i="1"/>
  <c r="E243" i="1" s="1"/>
  <c r="B244" i="1"/>
  <c r="E244" i="1" s="1"/>
  <c r="B245" i="1"/>
  <c r="E245" i="1" s="1"/>
  <c r="B246" i="1"/>
  <c r="E246" i="1" s="1"/>
  <c r="B247" i="1"/>
  <c r="E247" i="1" s="1"/>
  <c r="B248" i="1"/>
  <c r="E248" i="1" s="1"/>
  <c r="B249" i="1"/>
  <c r="E249" i="1" s="1"/>
  <c r="B250" i="1"/>
  <c r="E250" i="1" s="1"/>
  <c r="B251" i="1"/>
  <c r="E251" i="1" s="1"/>
  <c r="B252" i="1"/>
  <c r="E252" i="1" s="1"/>
  <c r="B253" i="1"/>
  <c r="E253" i="1" s="1"/>
  <c r="B254" i="1"/>
  <c r="E254" i="1" s="1"/>
  <c r="B255" i="1"/>
  <c r="E255" i="1" s="1"/>
  <c r="B256" i="1"/>
  <c r="E256" i="1" s="1"/>
  <c r="B257" i="1"/>
  <c r="E257" i="1" s="1"/>
  <c r="B258" i="1"/>
  <c r="E258" i="1" s="1"/>
  <c r="B259" i="1"/>
  <c r="E259" i="1" s="1"/>
  <c r="B260" i="1"/>
  <c r="E260" i="1" s="1"/>
  <c r="B261" i="1"/>
  <c r="E261" i="1" s="1"/>
  <c r="B262" i="1"/>
  <c r="E262" i="1" s="1"/>
  <c r="B263" i="1"/>
  <c r="E263" i="1" s="1"/>
  <c r="B264" i="1"/>
  <c r="E264" i="1" s="1"/>
  <c r="B265" i="1"/>
  <c r="E265" i="1" s="1"/>
  <c r="B266" i="1"/>
  <c r="E266" i="1" s="1"/>
  <c r="B267" i="1"/>
  <c r="E267" i="1" s="1"/>
  <c r="B268" i="1"/>
  <c r="E268" i="1" s="1"/>
  <c r="B269" i="1"/>
  <c r="E269" i="1" s="1"/>
  <c r="B270" i="1"/>
  <c r="E270" i="1" s="1"/>
  <c r="B271" i="1"/>
  <c r="E271" i="1" s="1"/>
  <c r="B272" i="1"/>
  <c r="E272" i="1" s="1"/>
  <c r="B273" i="1"/>
  <c r="E273" i="1" s="1"/>
  <c r="B274" i="1"/>
  <c r="E274" i="1" s="1"/>
  <c r="B2" i="1"/>
  <c r="E2" i="1" s="1"/>
</calcChain>
</file>

<file path=xl/sharedStrings.xml><?xml version="1.0" encoding="utf-8"?>
<sst xmlns="http://schemas.openxmlformats.org/spreadsheetml/2006/main" count="19" uniqueCount="14">
  <si>
    <t>day</t>
  </si>
  <si>
    <t>count</t>
  </si>
  <si>
    <t>week</t>
  </si>
  <si>
    <t>mm</t>
  </si>
  <si>
    <t>DAU</t>
  </si>
  <si>
    <t>WAU</t>
  </si>
  <si>
    <t>MAU</t>
  </si>
  <si>
    <t>month</t>
  </si>
  <si>
    <t xml:space="preserve"> </t>
  </si>
  <si>
    <t>SF (week)</t>
  </si>
  <si>
    <t xml:space="preserve"> SF (month)</t>
  </si>
  <si>
    <t>Метрики MAU, WAU, DAU примерно одинаковые с начала периода набдюдения по декарь 2022 года. Далее наблюдаем рост показателей.</t>
  </si>
  <si>
    <t>В марте 2023 года после проведения Акции  рост  MAU, WAU, DAU становится ещё более занчительным.</t>
  </si>
  <si>
    <t xml:space="preserve"> StickyFactor становится более стабильным, без сильных перепадов.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</si>
</sst>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5" formatCode="_-* #,##0.0000_-;\-* #,##0.0000_-;_-* &quot;-&quot;??_-;_-@_-"/>
    <numFmt numFmtId="171" formatCode="0.0000"/>
  </numFmts>
  <fonts count="5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charset val="204"/>
      <scheme val="minor"/>
    </font>
    <font>
      <b/>
      <sz val="12"/>
      <color indexed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1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 vertical="center"/>
    </xf>
    <xf numFmtId="0" fontId="1" fillId="0" borderId="0" xfId="0" applyFont="1"/>
    <xf numFmtId="165" fontId="3" fillId="0" borderId="0" xfId="1" applyNumberFormat="1" applyFont="1"/>
    <xf numFmtId="171" fontId="3" fillId="0" borderId="0" xfId="0" applyNumberFormat="1" applyFont="1"/>
    <xf numFmtId="0" fontId="0" fillId="2" borderId="0" xfId="0" applyFill="1"/>
    <xf numFmtId="0" fontId="4" fillId="2" borderId="0" xfId="0" applyFont="1" applyFill="1"/>
    <xf numFmtId="0" fontId="4" fillId="0" borderId="0" xfId="0" applyFont="1" applyFill="1"/>
    <xf numFmtId="0" fontId="0" fillId="0" borderId="0" xfId="0" applyFill="1"/>
    <xf numFmtId="14" fontId="0" fillId="0" borderId="0" xfId="0" applyNumberForma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1" baseline="0">
                <a:effectLst/>
              </a:rPr>
              <a:t>Динамика </a:t>
            </a:r>
            <a:r>
              <a:rPr lang="en-US" sz="1800" b="1" i="1" baseline="0">
                <a:effectLst/>
              </a:rPr>
              <a:t>DAU, WAU, MAU</a:t>
            </a:r>
            <a:r>
              <a:rPr lang="ru-RU" sz="1800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1.3421061658132311E-2"/>
          <c:y val="7.4787401574803167E-2"/>
          <c:w val="0.97530305366194736"/>
          <c:h val="0.70230580001029286"/>
        </c:manualLayout>
      </c:layout>
      <c:lineChart>
        <c:grouping val="standard"/>
        <c:varyColors val="0"/>
        <c:ser>
          <c:idx val="1"/>
          <c:order val="1"/>
          <c:tx>
            <c:strRef>
              <c:f>Визуализация!$E$1</c:f>
              <c:strCache>
                <c:ptCount val="1"/>
                <c:pt idx="0">
                  <c:v>WAU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Визуализация!$C$2:$C$274</c:f>
              <c:numCache>
                <c:formatCode>m/d/yyyy</c:formatCode>
                <c:ptCount val="273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  <c:pt idx="30">
                  <c:v>44773</c:v>
                </c:pt>
                <c:pt idx="31">
                  <c:v>44774</c:v>
                </c:pt>
                <c:pt idx="32">
                  <c:v>44775</c:v>
                </c:pt>
                <c:pt idx="33">
                  <c:v>44776</c:v>
                </c:pt>
                <c:pt idx="34">
                  <c:v>44777</c:v>
                </c:pt>
                <c:pt idx="35">
                  <c:v>44778</c:v>
                </c:pt>
                <c:pt idx="36">
                  <c:v>44779</c:v>
                </c:pt>
                <c:pt idx="37">
                  <c:v>44780</c:v>
                </c:pt>
                <c:pt idx="38">
                  <c:v>44781</c:v>
                </c:pt>
                <c:pt idx="39">
                  <c:v>44782</c:v>
                </c:pt>
                <c:pt idx="40">
                  <c:v>44783</c:v>
                </c:pt>
                <c:pt idx="41">
                  <c:v>44784</c:v>
                </c:pt>
                <c:pt idx="42">
                  <c:v>44785</c:v>
                </c:pt>
                <c:pt idx="43">
                  <c:v>44786</c:v>
                </c:pt>
                <c:pt idx="44">
                  <c:v>44787</c:v>
                </c:pt>
                <c:pt idx="45">
                  <c:v>44788</c:v>
                </c:pt>
                <c:pt idx="46">
                  <c:v>44789</c:v>
                </c:pt>
                <c:pt idx="47">
                  <c:v>44790</c:v>
                </c:pt>
                <c:pt idx="48">
                  <c:v>44791</c:v>
                </c:pt>
                <c:pt idx="49">
                  <c:v>44792</c:v>
                </c:pt>
                <c:pt idx="50">
                  <c:v>44793</c:v>
                </c:pt>
                <c:pt idx="51">
                  <c:v>44794</c:v>
                </c:pt>
                <c:pt idx="52">
                  <c:v>44795</c:v>
                </c:pt>
                <c:pt idx="53">
                  <c:v>44796</c:v>
                </c:pt>
                <c:pt idx="54">
                  <c:v>44797</c:v>
                </c:pt>
                <c:pt idx="55">
                  <c:v>44798</c:v>
                </c:pt>
                <c:pt idx="56">
                  <c:v>44799</c:v>
                </c:pt>
                <c:pt idx="57">
                  <c:v>44800</c:v>
                </c:pt>
                <c:pt idx="58">
                  <c:v>44801</c:v>
                </c:pt>
                <c:pt idx="59">
                  <c:v>44802</c:v>
                </c:pt>
                <c:pt idx="60">
                  <c:v>44803</c:v>
                </c:pt>
                <c:pt idx="61">
                  <c:v>44804</c:v>
                </c:pt>
                <c:pt idx="62">
                  <c:v>44805</c:v>
                </c:pt>
                <c:pt idx="63">
                  <c:v>44806</c:v>
                </c:pt>
                <c:pt idx="64">
                  <c:v>44807</c:v>
                </c:pt>
                <c:pt idx="65">
                  <c:v>44808</c:v>
                </c:pt>
                <c:pt idx="66">
                  <c:v>44809</c:v>
                </c:pt>
                <c:pt idx="67">
                  <c:v>44810</c:v>
                </c:pt>
                <c:pt idx="68">
                  <c:v>44811</c:v>
                </c:pt>
                <c:pt idx="69">
                  <c:v>44812</c:v>
                </c:pt>
                <c:pt idx="70">
                  <c:v>44813</c:v>
                </c:pt>
                <c:pt idx="71">
                  <c:v>44814</c:v>
                </c:pt>
                <c:pt idx="72">
                  <c:v>44815</c:v>
                </c:pt>
                <c:pt idx="73">
                  <c:v>44816</c:v>
                </c:pt>
                <c:pt idx="74">
                  <c:v>44817</c:v>
                </c:pt>
                <c:pt idx="75">
                  <c:v>44818</c:v>
                </c:pt>
                <c:pt idx="76">
                  <c:v>44819</c:v>
                </c:pt>
                <c:pt idx="77">
                  <c:v>44820</c:v>
                </c:pt>
                <c:pt idx="78">
                  <c:v>44821</c:v>
                </c:pt>
                <c:pt idx="79">
                  <c:v>44822</c:v>
                </c:pt>
                <c:pt idx="80">
                  <c:v>44823</c:v>
                </c:pt>
                <c:pt idx="81">
                  <c:v>44824</c:v>
                </c:pt>
                <c:pt idx="82">
                  <c:v>44825</c:v>
                </c:pt>
                <c:pt idx="83">
                  <c:v>44826</c:v>
                </c:pt>
                <c:pt idx="84">
                  <c:v>44827</c:v>
                </c:pt>
                <c:pt idx="85">
                  <c:v>44828</c:v>
                </c:pt>
                <c:pt idx="86">
                  <c:v>44829</c:v>
                </c:pt>
                <c:pt idx="87">
                  <c:v>44830</c:v>
                </c:pt>
                <c:pt idx="88">
                  <c:v>44831</c:v>
                </c:pt>
                <c:pt idx="89">
                  <c:v>44832</c:v>
                </c:pt>
                <c:pt idx="90">
                  <c:v>44833</c:v>
                </c:pt>
                <c:pt idx="91">
                  <c:v>44834</c:v>
                </c:pt>
                <c:pt idx="92">
                  <c:v>44835</c:v>
                </c:pt>
                <c:pt idx="93">
                  <c:v>44836</c:v>
                </c:pt>
                <c:pt idx="94">
                  <c:v>44837</c:v>
                </c:pt>
                <c:pt idx="95">
                  <c:v>44838</c:v>
                </c:pt>
                <c:pt idx="96">
                  <c:v>44839</c:v>
                </c:pt>
                <c:pt idx="97">
                  <c:v>44840</c:v>
                </c:pt>
                <c:pt idx="98">
                  <c:v>44841</c:v>
                </c:pt>
                <c:pt idx="99">
                  <c:v>44842</c:v>
                </c:pt>
                <c:pt idx="100">
                  <c:v>44843</c:v>
                </c:pt>
                <c:pt idx="101">
                  <c:v>44844</c:v>
                </c:pt>
                <c:pt idx="102">
                  <c:v>44845</c:v>
                </c:pt>
                <c:pt idx="103">
                  <c:v>44846</c:v>
                </c:pt>
                <c:pt idx="104">
                  <c:v>44847</c:v>
                </c:pt>
                <c:pt idx="105">
                  <c:v>44848</c:v>
                </c:pt>
                <c:pt idx="106">
                  <c:v>44849</c:v>
                </c:pt>
                <c:pt idx="107">
                  <c:v>44850</c:v>
                </c:pt>
                <c:pt idx="108">
                  <c:v>44851</c:v>
                </c:pt>
                <c:pt idx="109">
                  <c:v>44852</c:v>
                </c:pt>
                <c:pt idx="110">
                  <c:v>44853</c:v>
                </c:pt>
                <c:pt idx="111">
                  <c:v>44854</c:v>
                </c:pt>
                <c:pt idx="112">
                  <c:v>44855</c:v>
                </c:pt>
                <c:pt idx="113">
                  <c:v>44856</c:v>
                </c:pt>
                <c:pt idx="114">
                  <c:v>44857</c:v>
                </c:pt>
                <c:pt idx="115">
                  <c:v>44858</c:v>
                </c:pt>
                <c:pt idx="116">
                  <c:v>44859</c:v>
                </c:pt>
                <c:pt idx="117">
                  <c:v>44860</c:v>
                </c:pt>
                <c:pt idx="118">
                  <c:v>44861</c:v>
                </c:pt>
                <c:pt idx="119">
                  <c:v>44862</c:v>
                </c:pt>
                <c:pt idx="120">
                  <c:v>44863</c:v>
                </c:pt>
                <c:pt idx="121">
                  <c:v>44864</c:v>
                </c:pt>
                <c:pt idx="122">
                  <c:v>44865</c:v>
                </c:pt>
                <c:pt idx="123">
                  <c:v>44866</c:v>
                </c:pt>
                <c:pt idx="124">
                  <c:v>44867</c:v>
                </c:pt>
                <c:pt idx="125">
                  <c:v>44868</c:v>
                </c:pt>
                <c:pt idx="126">
                  <c:v>44869</c:v>
                </c:pt>
                <c:pt idx="127">
                  <c:v>44870</c:v>
                </c:pt>
                <c:pt idx="128">
                  <c:v>44871</c:v>
                </c:pt>
                <c:pt idx="129">
                  <c:v>44872</c:v>
                </c:pt>
                <c:pt idx="130">
                  <c:v>44873</c:v>
                </c:pt>
                <c:pt idx="131">
                  <c:v>44874</c:v>
                </c:pt>
                <c:pt idx="132">
                  <c:v>44875</c:v>
                </c:pt>
                <c:pt idx="133">
                  <c:v>44876</c:v>
                </c:pt>
                <c:pt idx="134">
                  <c:v>44877</c:v>
                </c:pt>
                <c:pt idx="135">
                  <c:v>44878</c:v>
                </c:pt>
                <c:pt idx="136">
                  <c:v>44879</c:v>
                </c:pt>
                <c:pt idx="137">
                  <c:v>44880</c:v>
                </c:pt>
                <c:pt idx="138">
                  <c:v>44881</c:v>
                </c:pt>
                <c:pt idx="139">
                  <c:v>44882</c:v>
                </c:pt>
                <c:pt idx="140">
                  <c:v>44883</c:v>
                </c:pt>
                <c:pt idx="141">
                  <c:v>44884</c:v>
                </c:pt>
                <c:pt idx="142">
                  <c:v>44885</c:v>
                </c:pt>
                <c:pt idx="143">
                  <c:v>44886</c:v>
                </c:pt>
                <c:pt idx="144">
                  <c:v>44887</c:v>
                </c:pt>
                <c:pt idx="145">
                  <c:v>44888</c:v>
                </c:pt>
                <c:pt idx="146">
                  <c:v>44889</c:v>
                </c:pt>
                <c:pt idx="147">
                  <c:v>44890</c:v>
                </c:pt>
                <c:pt idx="148">
                  <c:v>44891</c:v>
                </c:pt>
                <c:pt idx="149">
                  <c:v>44892</c:v>
                </c:pt>
                <c:pt idx="150">
                  <c:v>44893</c:v>
                </c:pt>
                <c:pt idx="151">
                  <c:v>44894</c:v>
                </c:pt>
                <c:pt idx="152">
                  <c:v>44895</c:v>
                </c:pt>
                <c:pt idx="153">
                  <c:v>44896</c:v>
                </c:pt>
                <c:pt idx="154">
                  <c:v>44897</c:v>
                </c:pt>
                <c:pt idx="155">
                  <c:v>44898</c:v>
                </c:pt>
                <c:pt idx="156">
                  <c:v>44899</c:v>
                </c:pt>
                <c:pt idx="157">
                  <c:v>44900</c:v>
                </c:pt>
                <c:pt idx="158">
                  <c:v>44901</c:v>
                </c:pt>
                <c:pt idx="159">
                  <c:v>44902</c:v>
                </c:pt>
                <c:pt idx="160">
                  <c:v>44903</c:v>
                </c:pt>
                <c:pt idx="161">
                  <c:v>44904</c:v>
                </c:pt>
                <c:pt idx="162">
                  <c:v>44905</c:v>
                </c:pt>
                <c:pt idx="163">
                  <c:v>44906</c:v>
                </c:pt>
                <c:pt idx="164">
                  <c:v>44907</c:v>
                </c:pt>
                <c:pt idx="165">
                  <c:v>44908</c:v>
                </c:pt>
                <c:pt idx="166">
                  <c:v>44909</c:v>
                </c:pt>
                <c:pt idx="167">
                  <c:v>44910</c:v>
                </c:pt>
                <c:pt idx="168">
                  <c:v>44911</c:v>
                </c:pt>
                <c:pt idx="169">
                  <c:v>44912</c:v>
                </c:pt>
                <c:pt idx="170">
                  <c:v>44913</c:v>
                </c:pt>
                <c:pt idx="171">
                  <c:v>44914</c:v>
                </c:pt>
                <c:pt idx="172">
                  <c:v>44915</c:v>
                </c:pt>
                <c:pt idx="173">
                  <c:v>44916</c:v>
                </c:pt>
                <c:pt idx="174">
                  <c:v>44917</c:v>
                </c:pt>
                <c:pt idx="175">
                  <c:v>44918</c:v>
                </c:pt>
                <c:pt idx="176">
                  <c:v>44919</c:v>
                </c:pt>
                <c:pt idx="177">
                  <c:v>44920</c:v>
                </c:pt>
                <c:pt idx="178">
                  <c:v>44921</c:v>
                </c:pt>
                <c:pt idx="179">
                  <c:v>44922</c:v>
                </c:pt>
                <c:pt idx="180">
                  <c:v>44923</c:v>
                </c:pt>
                <c:pt idx="181">
                  <c:v>44924</c:v>
                </c:pt>
                <c:pt idx="182">
                  <c:v>44925</c:v>
                </c:pt>
                <c:pt idx="183">
                  <c:v>44926</c:v>
                </c:pt>
                <c:pt idx="184">
                  <c:v>44927</c:v>
                </c:pt>
                <c:pt idx="185">
                  <c:v>44928</c:v>
                </c:pt>
                <c:pt idx="186">
                  <c:v>44929</c:v>
                </c:pt>
                <c:pt idx="187">
                  <c:v>44930</c:v>
                </c:pt>
                <c:pt idx="188">
                  <c:v>44931</c:v>
                </c:pt>
                <c:pt idx="189">
                  <c:v>44932</c:v>
                </c:pt>
                <c:pt idx="190">
                  <c:v>44933</c:v>
                </c:pt>
                <c:pt idx="191">
                  <c:v>44934</c:v>
                </c:pt>
                <c:pt idx="192">
                  <c:v>44935</c:v>
                </c:pt>
                <c:pt idx="193">
                  <c:v>44936</c:v>
                </c:pt>
                <c:pt idx="194">
                  <c:v>44937</c:v>
                </c:pt>
                <c:pt idx="195">
                  <c:v>44938</c:v>
                </c:pt>
                <c:pt idx="196">
                  <c:v>44939</c:v>
                </c:pt>
                <c:pt idx="197">
                  <c:v>44940</c:v>
                </c:pt>
                <c:pt idx="198">
                  <c:v>44941</c:v>
                </c:pt>
                <c:pt idx="199">
                  <c:v>44942</c:v>
                </c:pt>
                <c:pt idx="200">
                  <c:v>44943</c:v>
                </c:pt>
                <c:pt idx="201">
                  <c:v>44944</c:v>
                </c:pt>
                <c:pt idx="202">
                  <c:v>44945</c:v>
                </c:pt>
                <c:pt idx="203">
                  <c:v>44946</c:v>
                </c:pt>
                <c:pt idx="204">
                  <c:v>44947</c:v>
                </c:pt>
                <c:pt idx="205">
                  <c:v>44948</c:v>
                </c:pt>
                <c:pt idx="206">
                  <c:v>44949</c:v>
                </c:pt>
                <c:pt idx="207">
                  <c:v>44950</c:v>
                </c:pt>
                <c:pt idx="208">
                  <c:v>44951</c:v>
                </c:pt>
                <c:pt idx="209">
                  <c:v>44952</c:v>
                </c:pt>
                <c:pt idx="210">
                  <c:v>44953</c:v>
                </c:pt>
                <c:pt idx="211">
                  <c:v>44954</c:v>
                </c:pt>
                <c:pt idx="212">
                  <c:v>44955</c:v>
                </c:pt>
                <c:pt idx="213">
                  <c:v>44956</c:v>
                </c:pt>
                <c:pt idx="214">
                  <c:v>44957</c:v>
                </c:pt>
                <c:pt idx="215">
                  <c:v>44958</c:v>
                </c:pt>
                <c:pt idx="216">
                  <c:v>44959</c:v>
                </c:pt>
                <c:pt idx="217">
                  <c:v>44960</c:v>
                </c:pt>
                <c:pt idx="218">
                  <c:v>44961</c:v>
                </c:pt>
                <c:pt idx="219">
                  <c:v>44962</c:v>
                </c:pt>
                <c:pt idx="220">
                  <c:v>44963</c:v>
                </c:pt>
                <c:pt idx="221">
                  <c:v>44964</c:v>
                </c:pt>
                <c:pt idx="222">
                  <c:v>44965</c:v>
                </c:pt>
                <c:pt idx="223">
                  <c:v>44966</c:v>
                </c:pt>
                <c:pt idx="224">
                  <c:v>44967</c:v>
                </c:pt>
                <c:pt idx="225">
                  <c:v>44968</c:v>
                </c:pt>
                <c:pt idx="226">
                  <c:v>44969</c:v>
                </c:pt>
                <c:pt idx="227">
                  <c:v>44970</c:v>
                </c:pt>
                <c:pt idx="228">
                  <c:v>44971</c:v>
                </c:pt>
                <c:pt idx="229">
                  <c:v>44972</c:v>
                </c:pt>
                <c:pt idx="230">
                  <c:v>44973</c:v>
                </c:pt>
                <c:pt idx="231">
                  <c:v>44974</c:v>
                </c:pt>
                <c:pt idx="232">
                  <c:v>44975</c:v>
                </c:pt>
                <c:pt idx="233">
                  <c:v>44976</c:v>
                </c:pt>
                <c:pt idx="234">
                  <c:v>44977</c:v>
                </c:pt>
                <c:pt idx="235">
                  <c:v>44978</c:v>
                </c:pt>
                <c:pt idx="236">
                  <c:v>44979</c:v>
                </c:pt>
                <c:pt idx="237">
                  <c:v>44980</c:v>
                </c:pt>
                <c:pt idx="238">
                  <c:v>44981</c:v>
                </c:pt>
                <c:pt idx="239">
                  <c:v>44982</c:v>
                </c:pt>
                <c:pt idx="240">
                  <c:v>44983</c:v>
                </c:pt>
                <c:pt idx="241">
                  <c:v>44984</c:v>
                </c:pt>
                <c:pt idx="242">
                  <c:v>44985</c:v>
                </c:pt>
                <c:pt idx="243">
                  <c:v>44986</c:v>
                </c:pt>
                <c:pt idx="244">
                  <c:v>44987</c:v>
                </c:pt>
                <c:pt idx="245">
                  <c:v>44988</c:v>
                </c:pt>
                <c:pt idx="246">
                  <c:v>44989</c:v>
                </c:pt>
                <c:pt idx="247">
                  <c:v>44990</c:v>
                </c:pt>
                <c:pt idx="248">
                  <c:v>44991</c:v>
                </c:pt>
                <c:pt idx="249">
                  <c:v>44992</c:v>
                </c:pt>
                <c:pt idx="250">
                  <c:v>44993</c:v>
                </c:pt>
                <c:pt idx="251">
                  <c:v>44994</c:v>
                </c:pt>
                <c:pt idx="252">
                  <c:v>44995</c:v>
                </c:pt>
                <c:pt idx="253">
                  <c:v>44996</c:v>
                </c:pt>
                <c:pt idx="254">
                  <c:v>44997</c:v>
                </c:pt>
                <c:pt idx="255">
                  <c:v>44998</c:v>
                </c:pt>
                <c:pt idx="256">
                  <c:v>44999</c:v>
                </c:pt>
                <c:pt idx="257">
                  <c:v>45000</c:v>
                </c:pt>
                <c:pt idx="258">
                  <c:v>45001</c:v>
                </c:pt>
                <c:pt idx="259">
                  <c:v>45002</c:v>
                </c:pt>
                <c:pt idx="260">
                  <c:v>45003</c:v>
                </c:pt>
                <c:pt idx="261">
                  <c:v>45004</c:v>
                </c:pt>
                <c:pt idx="262">
                  <c:v>45005</c:v>
                </c:pt>
                <c:pt idx="263">
                  <c:v>45006</c:v>
                </c:pt>
                <c:pt idx="264">
                  <c:v>45007</c:v>
                </c:pt>
                <c:pt idx="265">
                  <c:v>45008</c:v>
                </c:pt>
                <c:pt idx="266">
                  <c:v>45009</c:v>
                </c:pt>
                <c:pt idx="267">
                  <c:v>45010</c:v>
                </c:pt>
                <c:pt idx="268">
                  <c:v>45011</c:v>
                </c:pt>
                <c:pt idx="269">
                  <c:v>45012</c:v>
                </c:pt>
                <c:pt idx="270">
                  <c:v>45013</c:v>
                </c:pt>
                <c:pt idx="271">
                  <c:v>45014</c:v>
                </c:pt>
                <c:pt idx="272">
                  <c:v>45015</c:v>
                </c:pt>
              </c:numCache>
            </c:numRef>
          </c:cat>
          <c:val>
            <c:numRef>
              <c:f>Визуализация!$E$2:$E$274</c:f>
              <c:numCache>
                <c:formatCode>General</c:formatCode>
                <c:ptCount val="27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67</c:v>
                </c:pt>
                <c:pt idx="4">
                  <c:v>67</c:v>
                </c:pt>
                <c:pt idx="5">
                  <c:v>67</c:v>
                </c:pt>
                <c:pt idx="6">
                  <c:v>67</c:v>
                </c:pt>
                <c:pt idx="7">
                  <c:v>67</c:v>
                </c:pt>
                <c:pt idx="8">
                  <c:v>67</c:v>
                </c:pt>
                <c:pt idx="9">
                  <c:v>67</c:v>
                </c:pt>
                <c:pt idx="10">
                  <c:v>49</c:v>
                </c:pt>
                <c:pt idx="11">
                  <c:v>49</c:v>
                </c:pt>
                <c:pt idx="12">
                  <c:v>49</c:v>
                </c:pt>
                <c:pt idx="13">
                  <c:v>49</c:v>
                </c:pt>
                <c:pt idx="14">
                  <c:v>49</c:v>
                </c:pt>
                <c:pt idx="15">
                  <c:v>49</c:v>
                </c:pt>
                <c:pt idx="16">
                  <c:v>49</c:v>
                </c:pt>
                <c:pt idx="17">
                  <c:v>61</c:v>
                </c:pt>
                <c:pt idx="18">
                  <c:v>61</c:v>
                </c:pt>
                <c:pt idx="19">
                  <c:v>61</c:v>
                </c:pt>
                <c:pt idx="20">
                  <c:v>61</c:v>
                </c:pt>
                <c:pt idx="21">
                  <c:v>61</c:v>
                </c:pt>
                <c:pt idx="22">
                  <c:v>61</c:v>
                </c:pt>
                <c:pt idx="23">
                  <c:v>61</c:v>
                </c:pt>
                <c:pt idx="24">
                  <c:v>62</c:v>
                </c:pt>
                <c:pt idx="25">
                  <c:v>62</c:v>
                </c:pt>
                <c:pt idx="26">
                  <c:v>62</c:v>
                </c:pt>
                <c:pt idx="27">
                  <c:v>62</c:v>
                </c:pt>
                <c:pt idx="28">
                  <c:v>62</c:v>
                </c:pt>
                <c:pt idx="29">
                  <c:v>62</c:v>
                </c:pt>
                <c:pt idx="30">
                  <c:v>62</c:v>
                </c:pt>
                <c:pt idx="31">
                  <c:v>45</c:v>
                </c:pt>
                <c:pt idx="32">
                  <c:v>45</c:v>
                </c:pt>
                <c:pt idx="33">
                  <c:v>45</c:v>
                </c:pt>
                <c:pt idx="34">
                  <c:v>45</c:v>
                </c:pt>
                <c:pt idx="35">
                  <c:v>45</c:v>
                </c:pt>
                <c:pt idx="36">
                  <c:v>45</c:v>
                </c:pt>
                <c:pt idx="37">
                  <c:v>45</c:v>
                </c:pt>
                <c:pt idx="38">
                  <c:v>65</c:v>
                </c:pt>
                <c:pt idx="39">
                  <c:v>65</c:v>
                </c:pt>
                <c:pt idx="40">
                  <c:v>65</c:v>
                </c:pt>
                <c:pt idx="41">
                  <c:v>65</c:v>
                </c:pt>
                <c:pt idx="42">
                  <c:v>65</c:v>
                </c:pt>
                <c:pt idx="43">
                  <c:v>65</c:v>
                </c:pt>
                <c:pt idx="44">
                  <c:v>65</c:v>
                </c:pt>
                <c:pt idx="45">
                  <c:v>55</c:v>
                </c:pt>
                <c:pt idx="46">
                  <c:v>55</c:v>
                </c:pt>
                <c:pt idx="47">
                  <c:v>55</c:v>
                </c:pt>
                <c:pt idx="48">
                  <c:v>55</c:v>
                </c:pt>
                <c:pt idx="49">
                  <c:v>55</c:v>
                </c:pt>
                <c:pt idx="50">
                  <c:v>55</c:v>
                </c:pt>
                <c:pt idx="51">
                  <c:v>55</c:v>
                </c:pt>
                <c:pt idx="52">
                  <c:v>51</c:v>
                </c:pt>
                <c:pt idx="53">
                  <c:v>51</c:v>
                </c:pt>
                <c:pt idx="54">
                  <c:v>51</c:v>
                </c:pt>
                <c:pt idx="55">
                  <c:v>51</c:v>
                </c:pt>
                <c:pt idx="56">
                  <c:v>51</c:v>
                </c:pt>
                <c:pt idx="57">
                  <c:v>51</c:v>
                </c:pt>
                <c:pt idx="58">
                  <c:v>51</c:v>
                </c:pt>
                <c:pt idx="59">
                  <c:v>54</c:v>
                </c:pt>
                <c:pt idx="60">
                  <c:v>54</c:v>
                </c:pt>
                <c:pt idx="61">
                  <c:v>54</c:v>
                </c:pt>
                <c:pt idx="62">
                  <c:v>54</c:v>
                </c:pt>
                <c:pt idx="63">
                  <c:v>54</c:v>
                </c:pt>
                <c:pt idx="64">
                  <c:v>54</c:v>
                </c:pt>
                <c:pt idx="65">
                  <c:v>54</c:v>
                </c:pt>
                <c:pt idx="66">
                  <c:v>57</c:v>
                </c:pt>
                <c:pt idx="67">
                  <c:v>57</c:v>
                </c:pt>
                <c:pt idx="68">
                  <c:v>57</c:v>
                </c:pt>
                <c:pt idx="69">
                  <c:v>57</c:v>
                </c:pt>
                <c:pt idx="70">
                  <c:v>57</c:v>
                </c:pt>
                <c:pt idx="71">
                  <c:v>57</c:v>
                </c:pt>
                <c:pt idx="72">
                  <c:v>57</c:v>
                </c:pt>
                <c:pt idx="73">
                  <c:v>74</c:v>
                </c:pt>
                <c:pt idx="74">
                  <c:v>74</c:v>
                </c:pt>
                <c:pt idx="75">
                  <c:v>74</c:v>
                </c:pt>
                <c:pt idx="76">
                  <c:v>74</c:v>
                </c:pt>
                <c:pt idx="77">
                  <c:v>74</c:v>
                </c:pt>
                <c:pt idx="78">
                  <c:v>74</c:v>
                </c:pt>
                <c:pt idx="79">
                  <c:v>74</c:v>
                </c:pt>
                <c:pt idx="80">
                  <c:v>53</c:v>
                </c:pt>
                <c:pt idx="81">
                  <c:v>53</c:v>
                </c:pt>
                <c:pt idx="82">
                  <c:v>53</c:v>
                </c:pt>
                <c:pt idx="83">
                  <c:v>53</c:v>
                </c:pt>
                <c:pt idx="84">
                  <c:v>53</c:v>
                </c:pt>
                <c:pt idx="85">
                  <c:v>53</c:v>
                </c:pt>
                <c:pt idx="86">
                  <c:v>53</c:v>
                </c:pt>
                <c:pt idx="87">
                  <c:v>61</c:v>
                </c:pt>
                <c:pt idx="88">
                  <c:v>61</c:v>
                </c:pt>
                <c:pt idx="89">
                  <c:v>61</c:v>
                </c:pt>
                <c:pt idx="90">
                  <c:v>61</c:v>
                </c:pt>
                <c:pt idx="91">
                  <c:v>61</c:v>
                </c:pt>
                <c:pt idx="92">
                  <c:v>61</c:v>
                </c:pt>
                <c:pt idx="93">
                  <c:v>61</c:v>
                </c:pt>
                <c:pt idx="94">
                  <c:v>44</c:v>
                </c:pt>
                <c:pt idx="95">
                  <c:v>44</c:v>
                </c:pt>
                <c:pt idx="96">
                  <c:v>44</c:v>
                </c:pt>
                <c:pt idx="97">
                  <c:v>44</c:v>
                </c:pt>
                <c:pt idx="98">
                  <c:v>44</c:v>
                </c:pt>
                <c:pt idx="99">
                  <c:v>44</c:v>
                </c:pt>
                <c:pt idx="100">
                  <c:v>44</c:v>
                </c:pt>
                <c:pt idx="101">
                  <c:v>64</c:v>
                </c:pt>
                <c:pt idx="102">
                  <c:v>64</c:v>
                </c:pt>
                <c:pt idx="103">
                  <c:v>64</c:v>
                </c:pt>
                <c:pt idx="104">
                  <c:v>64</c:v>
                </c:pt>
                <c:pt idx="105">
                  <c:v>64</c:v>
                </c:pt>
                <c:pt idx="106">
                  <c:v>64</c:v>
                </c:pt>
                <c:pt idx="107">
                  <c:v>64</c:v>
                </c:pt>
                <c:pt idx="108">
                  <c:v>57</c:v>
                </c:pt>
                <c:pt idx="109">
                  <c:v>57</c:v>
                </c:pt>
                <c:pt idx="110">
                  <c:v>57</c:v>
                </c:pt>
                <c:pt idx="111">
                  <c:v>57</c:v>
                </c:pt>
                <c:pt idx="112">
                  <c:v>57</c:v>
                </c:pt>
                <c:pt idx="113">
                  <c:v>57</c:v>
                </c:pt>
                <c:pt idx="114">
                  <c:v>57</c:v>
                </c:pt>
                <c:pt idx="115">
                  <c:v>66</c:v>
                </c:pt>
                <c:pt idx="116">
                  <c:v>66</c:v>
                </c:pt>
                <c:pt idx="117">
                  <c:v>66</c:v>
                </c:pt>
                <c:pt idx="118">
                  <c:v>66</c:v>
                </c:pt>
                <c:pt idx="119">
                  <c:v>66</c:v>
                </c:pt>
                <c:pt idx="120">
                  <c:v>66</c:v>
                </c:pt>
                <c:pt idx="121">
                  <c:v>66</c:v>
                </c:pt>
                <c:pt idx="122">
                  <c:v>59</c:v>
                </c:pt>
                <c:pt idx="123">
                  <c:v>59</c:v>
                </c:pt>
                <c:pt idx="124">
                  <c:v>59</c:v>
                </c:pt>
                <c:pt idx="125">
                  <c:v>59</c:v>
                </c:pt>
                <c:pt idx="126">
                  <c:v>59</c:v>
                </c:pt>
                <c:pt idx="127">
                  <c:v>59</c:v>
                </c:pt>
                <c:pt idx="128">
                  <c:v>59</c:v>
                </c:pt>
                <c:pt idx="129">
                  <c:v>69</c:v>
                </c:pt>
                <c:pt idx="130">
                  <c:v>69</c:v>
                </c:pt>
                <c:pt idx="131">
                  <c:v>69</c:v>
                </c:pt>
                <c:pt idx="132">
                  <c:v>69</c:v>
                </c:pt>
                <c:pt idx="133">
                  <c:v>69</c:v>
                </c:pt>
                <c:pt idx="134">
                  <c:v>69</c:v>
                </c:pt>
                <c:pt idx="135">
                  <c:v>69</c:v>
                </c:pt>
                <c:pt idx="136">
                  <c:v>60</c:v>
                </c:pt>
                <c:pt idx="137">
                  <c:v>60</c:v>
                </c:pt>
                <c:pt idx="138">
                  <c:v>60</c:v>
                </c:pt>
                <c:pt idx="139">
                  <c:v>60</c:v>
                </c:pt>
                <c:pt idx="140">
                  <c:v>60</c:v>
                </c:pt>
                <c:pt idx="141">
                  <c:v>60</c:v>
                </c:pt>
                <c:pt idx="142">
                  <c:v>60</c:v>
                </c:pt>
                <c:pt idx="143">
                  <c:v>53</c:v>
                </c:pt>
                <c:pt idx="144">
                  <c:v>53</c:v>
                </c:pt>
                <c:pt idx="145">
                  <c:v>53</c:v>
                </c:pt>
                <c:pt idx="146">
                  <c:v>53</c:v>
                </c:pt>
                <c:pt idx="147">
                  <c:v>53</c:v>
                </c:pt>
                <c:pt idx="148">
                  <c:v>53</c:v>
                </c:pt>
                <c:pt idx="149">
                  <c:v>53</c:v>
                </c:pt>
                <c:pt idx="150">
                  <c:v>63</c:v>
                </c:pt>
                <c:pt idx="151">
                  <c:v>63</c:v>
                </c:pt>
                <c:pt idx="152">
                  <c:v>63</c:v>
                </c:pt>
                <c:pt idx="153">
                  <c:v>63</c:v>
                </c:pt>
                <c:pt idx="154">
                  <c:v>63</c:v>
                </c:pt>
                <c:pt idx="155">
                  <c:v>63</c:v>
                </c:pt>
                <c:pt idx="156">
                  <c:v>63</c:v>
                </c:pt>
                <c:pt idx="157">
                  <c:v>56</c:v>
                </c:pt>
                <c:pt idx="158">
                  <c:v>56</c:v>
                </c:pt>
                <c:pt idx="159">
                  <c:v>56</c:v>
                </c:pt>
                <c:pt idx="160">
                  <c:v>56</c:v>
                </c:pt>
                <c:pt idx="161">
                  <c:v>56</c:v>
                </c:pt>
                <c:pt idx="162">
                  <c:v>56</c:v>
                </c:pt>
                <c:pt idx="163">
                  <c:v>56</c:v>
                </c:pt>
                <c:pt idx="164">
                  <c:v>39</c:v>
                </c:pt>
                <c:pt idx="165">
                  <c:v>39</c:v>
                </c:pt>
                <c:pt idx="166">
                  <c:v>39</c:v>
                </c:pt>
                <c:pt idx="167">
                  <c:v>39</c:v>
                </c:pt>
                <c:pt idx="168">
                  <c:v>39</c:v>
                </c:pt>
                <c:pt idx="169">
                  <c:v>39</c:v>
                </c:pt>
                <c:pt idx="170">
                  <c:v>39</c:v>
                </c:pt>
                <c:pt idx="171">
                  <c:v>58</c:v>
                </c:pt>
                <c:pt idx="172">
                  <c:v>58</c:v>
                </c:pt>
                <c:pt idx="173">
                  <c:v>58</c:v>
                </c:pt>
                <c:pt idx="174">
                  <c:v>58</c:v>
                </c:pt>
                <c:pt idx="175">
                  <c:v>58</c:v>
                </c:pt>
                <c:pt idx="176">
                  <c:v>58</c:v>
                </c:pt>
                <c:pt idx="177">
                  <c:v>58</c:v>
                </c:pt>
                <c:pt idx="178">
                  <c:v>75</c:v>
                </c:pt>
                <c:pt idx="179">
                  <c:v>75</c:v>
                </c:pt>
                <c:pt idx="180">
                  <c:v>75</c:v>
                </c:pt>
                <c:pt idx="181">
                  <c:v>75</c:v>
                </c:pt>
                <c:pt idx="182">
                  <c:v>75</c:v>
                </c:pt>
                <c:pt idx="183">
                  <c:v>75</c:v>
                </c:pt>
                <c:pt idx="184">
                  <c:v>75</c:v>
                </c:pt>
                <c:pt idx="185">
                  <c:v>107</c:v>
                </c:pt>
                <c:pt idx="186">
                  <c:v>107</c:v>
                </c:pt>
                <c:pt idx="187">
                  <c:v>107</c:v>
                </c:pt>
                <c:pt idx="188">
                  <c:v>107</c:v>
                </c:pt>
                <c:pt idx="189">
                  <c:v>107</c:v>
                </c:pt>
                <c:pt idx="190">
                  <c:v>107</c:v>
                </c:pt>
                <c:pt idx="191">
                  <c:v>107</c:v>
                </c:pt>
                <c:pt idx="192">
                  <c:v>94</c:v>
                </c:pt>
                <c:pt idx="193">
                  <c:v>94</c:v>
                </c:pt>
                <c:pt idx="194">
                  <c:v>94</c:v>
                </c:pt>
                <c:pt idx="195">
                  <c:v>94</c:v>
                </c:pt>
                <c:pt idx="196">
                  <c:v>94</c:v>
                </c:pt>
                <c:pt idx="197">
                  <c:v>94</c:v>
                </c:pt>
                <c:pt idx="198">
                  <c:v>94</c:v>
                </c:pt>
                <c:pt idx="199">
                  <c:v>77</c:v>
                </c:pt>
                <c:pt idx="200">
                  <c:v>77</c:v>
                </c:pt>
                <c:pt idx="201">
                  <c:v>77</c:v>
                </c:pt>
                <c:pt idx="202">
                  <c:v>77</c:v>
                </c:pt>
                <c:pt idx="203">
                  <c:v>77</c:v>
                </c:pt>
                <c:pt idx="204">
                  <c:v>77</c:v>
                </c:pt>
                <c:pt idx="205">
                  <c:v>77</c:v>
                </c:pt>
                <c:pt idx="206">
                  <c:v>95</c:v>
                </c:pt>
                <c:pt idx="207">
                  <c:v>95</c:v>
                </c:pt>
                <c:pt idx="208">
                  <c:v>95</c:v>
                </c:pt>
                <c:pt idx="209">
                  <c:v>95</c:v>
                </c:pt>
                <c:pt idx="210">
                  <c:v>95</c:v>
                </c:pt>
                <c:pt idx="211">
                  <c:v>95</c:v>
                </c:pt>
                <c:pt idx="212">
                  <c:v>95</c:v>
                </c:pt>
                <c:pt idx="213">
                  <c:v>91</c:v>
                </c:pt>
                <c:pt idx="214">
                  <c:v>91</c:v>
                </c:pt>
                <c:pt idx="215">
                  <c:v>91</c:v>
                </c:pt>
                <c:pt idx="216">
                  <c:v>91</c:v>
                </c:pt>
                <c:pt idx="217">
                  <c:v>91</c:v>
                </c:pt>
                <c:pt idx="218">
                  <c:v>91</c:v>
                </c:pt>
                <c:pt idx="219">
                  <c:v>91</c:v>
                </c:pt>
                <c:pt idx="220">
                  <c:v>86</c:v>
                </c:pt>
                <c:pt idx="221">
                  <c:v>86</c:v>
                </c:pt>
                <c:pt idx="222">
                  <c:v>86</c:v>
                </c:pt>
                <c:pt idx="223">
                  <c:v>86</c:v>
                </c:pt>
                <c:pt idx="224">
                  <c:v>86</c:v>
                </c:pt>
                <c:pt idx="225">
                  <c:v>86</c:v>
                </c:pt>
                <c:pt idx="226">
                  <c:v>86</c:v>
                </c:pt>
                <c:pt idx="227">
                  <c:v>86</c:v>
                </c:pt>
                <c:pt idx="228">
                  <c:v>86</c:v>
                </c:pt>
                <c:pt idx="229">
                  <c:v>86</c:v>
                </c:pt>
                <c:pt idx="230">
                  <c:v>86</c:v>
                </c:pt>
                <c:pt idx="231">
                  <c:v>86</c:v>
                </c:pt>
                <c:pt idx="232">
                  <c:v>86</c:v>
                </c:pt>
                <c:pt idx="233">
                  <c:v>86</c:v>
                </c:pt>
                <c:pt idx="234">
                  <c:v>175</c:v>
                </c:pt>
                <c:pt idx="235">
                  <c:v>175</c:v>
                </c:pt>
                <c:pt idx="236">
                  <c:v>175</c:v>
                </c:pt>
                <c:pt idx="237">
                  <c:v>175</c:v>
                </c:pt>
                <c:pt idx="238">
                  <c:v>175</c:v>
                </c:pt>
                <c:pt idx="239">
                  <c:v>175</c:v>
                </c:pt>
                <c:pt idx="240">
                  <c:v>175</c:v>
                </c:pt>
                <c:pt idx="241">
                  <c:v>172</c:v>
                </c:pt>
                <c:pt idx="242">
                  <c:v>172</c:v>
                </c:pt>
                <c:pt idx="243">
                  <c:v>172</c:v>
                </c:pt>
                <c:pt idx="244">
                  <c:v>172</c:v>
                </c:pt>
                <c:pt idx="245">
                  <c:v>172</c:v>
                </c:pt>
                <c:pt idx="246">
                  <c:v>172</c:v>
                </c:pt>
                <c:pt idx="247">
                  <c:v>172</c:v>
                </c:pt>
                <c:pt idx="248">
                  <c:v>165</c:v>
                </c:pt>
                <c:pt idx="249">
                  <c:v>165</c:v>
                </c:pt>
                <c:pt idx="250">
                  <c:v>165</c:v>
                </c:pt>
                <c:pt idx="251">
                  <c:v>165</c:v>
                </c:pt>
                <c:pt idx="252">
                  <c:v>165</c:v>
                </c:pt>
                <c:pt idx="253">
                  <c:v>165</c:v>
                </c:pt>
                <c:pt idx="254">
                  <c:v>165</c:v>
                </c:pt>
                <c:pt idx="255">
                  <c:v>164</c:v>
                </c:pt>
                <c:pt idx="256">
                  <c:v>164</c:v>
                </c:pt>
                <c:pt idx="257">
                  <c:v>164</c:v>
                </c:pt>
                <c:pt idx="258">
                  <c:v>164</c:v>
                </c:pt>
                <c:pt idx="259">
                  <c:v>164</c:v>
                </c:pt>
                <c:pt idx="260">
                  <c:v>164</c:v>
                </c:pt>
                <c:pt idx="261">
                  <c:v>164</c:v>
                </c:pt>
                <c:pt idx="262">
                  <c:v>145</c:v>
                </c:pt>
                <c:pt idx="263">
                  <c:v>145</c:v>
                </c:pt>
                <c:pt idx="264">
                  <c:v>145</c:v>
                </c:pt>
                <c:pt idx="265">
                  <c:v>145</c:v>
                </c:pt>
                <c:pt idx="266">
                  <c:v>145</c:v>
                </c:pt>
                <c:pt idx="267">
                  <c:v>145</c:v>
                </c:pt>
                <c:pt idx="268">
                  <c:v>145</c:v>
                </c:pt>
                <c:pt idx="269">
                  <c:v>84</c:v>
                </c:pt>
                <c:pt idx="270">
                  <c:v>84</c:v>
                </c:pt>
                <c:pt idx="271">
                  <c:v>84</c:v>
                </c:pt>
                <c:pt idx="272">
                  <c:v>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E9-433D-8CAC-60AC71B7A647}"/>
            </c:ext>
          </c:extLst>
        </c:ser>
        <c:ser>
          <c:idx val="2"/>
          <c:order val="2"/>
          <c:tx>
            <c:strRef>
              <c:f>Визуализация!$F$1</c:f>
              <c:strCache>
                <c:ptCount val="1"/>
                <c:pt idx="0">
                  <c:v>MAU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Визуализация!$C$2:$C$274</c:f>
              <c:numCache>
                <c:formatCode>m/d/yyyy</c:formatCode>
                <c:ptCount val="273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  <c:pt idx="30">
                  <c:v>44773</c:v>
                </c:pt>
                <c:pt idx="31">
                  <c:v>44774</c:v>
                </c:pt>
                <c:pt idx="32">
                  <c:v>44775</c:v>
                </c:pt>
                <c:pt idx="33">
                  <c:v>44776</c:v>
                </c:pt>
                <c:pt idx="34">
                  <c:v>44777</c:v>
                </c:pt>
                <c:pt idx="35">
                  <c:v>44778</c:v>
                </c:pt>
                <c:pt idx="36">
                  <c:v>44779</c:v>
                </c:pt>
                <c:pt idx="37">
                  <c:v>44780</c:v>
                </c:pt>
                <c:pt idx="38">
                  <c:v>44781</c:v>
                </c:pt>
                <c:pt idx="39">
                  <c:v>44782</c:v>
                </c:pt>
                <c:pt idx="40">
                  <c:v>44783</c:v>
                </c:pt>
                <c:pt idx="41">
                  <c:v>44784</c:v>
                </c:pt>
                <c:pt idx="42">
                  <c:v>44785</c:v>
                </c:pt>
                <c:pt idx="43">
                  <c:v>44786</c:v>
                </c:pt>
                <c:pt idx="44">
                  <c:v>44787</c:v>
                </c:pt>
                <c:pt idx="45">
                  <c:v>44788</c:v>
                </c:pt>
                <c:pt idx="46">
                  <c:v>44789</c:v>
                </c:pt>
                <c:pt idx="47">
                  <c:v>44790</c:v>
                </c:pt>
                <c:pt idx="48">
                  <c:v>44791</c:v>
                </c:pt>
                <c:pt idx="49">
                  <c:v>44792</c:v>
                </c:pt>
                <c:pt idx="50">
                  <c:v>44793</c:v>
                </c:pt>
                <c:pt idx="51">
                  <c:v>44794</c:v>
                </c:pt>
                <c:pt idx="52">
                  <c:v>44795</c:v>
                </c:pt>
                <c:pt idx="53">
                  <c:v>44796</c:v>
                </c:pt>
                <c:pt idx="54">
                  <c:v>44797</c:v>
                </c:pt>
                <c:pt idx="55">
                  <c:v>44798</c:v>
                </c:pt>
                <c:pt idx="56">
                  <c:v>44799</c:v>
                </c:pt>
                <c:pt idx="57">
                  <c:v>44800</c:v>
                </c:pt>
                <c:pt idx="58">
                  <c:v>44801</c:v>
                </c:pt>
                <c:pt idx="59">
                  <c:v>44802</c:v>
                </c:pt>
                <c:pt idx="60">
                  <c:v>44803</c:v>
                </c:pt>
                <c:pt idx="61">
                  <c:v>44804</c:v>
                </c:pt>
                <c:pt idx="62">
                  <c:v>44805</c:v>
                </c:pt>
                <c:pt idx="63">
                  <c:v>44806</c:v>
                </c:pt>
                <c:pt idx="64">
                  <c:v>44807</c:v>
                </c:pt>
                <c:pt idx="65">
                  <c:v>44808</c:v>
                </c:pt>
                <c:pt idx="66">
                  <c:v>44809</c:v>
                </c:pt>
                <c:pt idx="67">
                  <c:v>44810</c:v>
                </c:pt>
                <c:pt idx="68">
                  <c:v>44811</c:v>
                </c:pt>
                <c:pt idx="69">
                  <c:v>44812</c:v>
                </c:pt>
                <c:pt idx="70">
                  <c:v>44813</c:v>
                </c:pt>
                <c:pt idx="71">
                  <c:v>44814</c:v>
                </c:pt>
                <c:pt idx="72">
                  <c:v>44815</c:v>
                </c:pt>
                <c:pt idx="73">
                  <c:v>44816</c:v>
                </c:pt>
                <c:pt idx="74">
                  <c:v>44817</c:v>
                </c:pt>
                <c:pt idx="75">
                  <c:v>44818</c:v>
                </c:pt>
                <c:pt idx="76">
                  <c:v>44819</c:v>
                </c:pt>
                <c:pt idx="77">
                  <c:v>44820</c:v>
                </c:pt>
                <c:pt idx="78">
                  <c:v>44821</c:v>
                </c:pt>
                <c:pt idx="79">
                  <c:v>44822</c:v>
                </c:pt>
                <c:pt idx="80">
                  <c:v>44823</c:v>
                </c:pt>
                <c:pt idx="81">
                  <c:v>44824</c:v>
                </c:pt>
                <c:pt idx="82">
                  <c:v>44825</c:v>
                </c:pt>
                <c:pt idx="83">
                  <c:v>44826</c:v>
                </c:pt>
                <c:pt idx="84">
                  <c:v>44827</c:v>
                </c:pt>
                <c:pt idx="85">
                  <c:v>44828</c:v>
                </c:pt>
                <c:pt idx="86">
                  <c:v>44829</c:v>
                </c:pt>
                <c:pt idx="87">
                  <c:v>44830</c:v>
                </c:pt>
                <c:pt idx="88">
                  <c:v>44831</c:v>
                </c:pt>
                <c:pt idx="89">
                  <c:v>44832</c:v>
                </c:pt>
                <c:pt idx="90">
                  <c:v>44833</c:v>
                </c:pt>
                <c:pt idx="91">
                  <c:v>44834</c:v>
                </c:pt>
                <c:pt idx="92">
                  <c:v>44835</c:v>
                </c:pt>
                <c:pt idx="93">
                  <c:v>44836</c:v>
                </c:pt>
                <c:pt idx="94">
                  <c:v>44837</c:v>
                </c:pt>
                <c:pt idx="95">
                  <c:v>44838</c:v>
                </c:pt>
                <c:pt idx="96">
                  <c:v>44839</c:v>
                </c:pt>
                <c:pt idx="97">
                  <c:v>44840</c:v>
                </c:pt>
                <c:pt idx="98">
                  <c:v>44841</c:v>
                </c:pt>
                <c:pt idx="99">
                  <c:v>44842</c:v>
                </c:pt>
                <c:pt idx="100">
                  <c:v>44843</c:v>
                </c:pt>
                <c:pt idx="101">
                  <c:v>44844</c:v>
                </c:pt>
                <c:pt idx="102">
                  <c:v>44845</c:v>
                </c:pt>
                <c:pt idx="103">
                  <c:v>44846</c:v>
                </c:pt>
                <c:pt idx="104">
                  <c:v>44847</c:v>
                </c:pt>
                <c:pt idx="105">
                  <c:v>44848</c:v>
                </c:pt>
                <c:pt idx="106">
                  <c:v>44849</c:v>
                </c:pt>
                <c:pt idx="107">
                  <c:v>44850</c:v>
                </c:pt>
                <c:pt idx="108">
                  <c:v>44851</c:v>
                </c:pt>
                <c:pt idx="109">
                  <c:v>44852</c:v>
                </c:pt>
                <c:pt idx="110">
                  <c:v>44853</c:v>
                </c:pt>
                <c:pt idx="111">
                  <c:v>44854</c:v>
                </c:pt>
                <c:pt idx="112">
                  <c:v>44855</c:v>
                </c:pt>
                <c:pt idx="113">
                  <c:v>44856</c:v>
                </c:pt>
                <c:pt idx="114">
                  <c:v>44857</c:v>
                </c:pt>
                <c:pt idx="115">
                  <c:v>44858</c:v>
                </c:pt>
                <c:pt idx="116">
                  <c:v>44859</c:v>
                </c:pt>
                <c:pt idx="117">
                  <c:v>44860</c:v>
                </c:pt>
                <c:pt idx="118">
                  <c:v>44861</c:v>
                </c:pt>
                <c:pt idx="119">
                  <c:v>44862</c:v>
                </c:pt>
                <c:pt idx="120">
                  <c:v>44863</c:v>
                </c:pt>
                <c:pt idx="121">
                  <c:v>44864</c:v>
                </c:pt>
                <c:pt idx="122">
                  <c:v>44865</c:v>
                </c:pt>
                <c:pt idx="123">
                  <c:v>44866</c:v>
                </c:pt>
                <c:pt idx="124">
                  <c:v>44867</c:v>
                </c:pt>
                <c:pt idx="125">
                  <c:v>44868</c:v>
                </c:pt>
                <c:pt idx="126">
                  <c:v>44869</c:v>
                </c:pt>
                <c:pt idx="127">
                  <c:v>44870</c:v>
                </c:pt>
                <c:pt idx="128">
                  <c:v>44871</c:v>
                </c:pt>
                <c:pt idx="129">
                  <c:v>44872</c:v>
                </c:pt>
                <c:pt idx="130">
                  <c:v>44873</c:v>
                </c:pt>
                <c:pt idx="131">
                  <c:v>44874</c:v>
                </c:pt>
                <c:pt idx="132">
                  <c:v>44875</c:v>
                </c:pt>
                <c:pt idx="133">
                  <c:v>44876</c:v>
                </c:pt>
                <c:pt idx="134">
                  <c:v>44877</c:v>
                </c:pt>
                <c:pt idx="135">
                  <c:v>44878</c:v>
                </c:pt>
                <c:pt idx="136">
                  <c:v>44879</c:v>
                </c:pt>
                <c:pt idx="137">
                  <c:v>44880</c:v>
                </c:pt>
                <c:pt idx="138">
                  <c:v>44881</c:v>
                </c:pt>
                <c:pt idx="139">
                  <c:v>44882</c:v>
                </c:pt>
                <c:pt idx="140">
                  <c:v>44883</c:v>
                </c:pt>
                <c:pt idx="141">
                  <c:v>44884</c:v>
                </c:pt>
                <c:pt idx="142">
                  <c:v>44885</c:v>
                </c:pt>
                <c:pt idx="143">
                  <c:v>44886</c:v>
                </c:pt>
                <c:pt idx="144">
                  <c:v>44887</c:v>
                </c:pt>
                <c:pt idx="145">
                  <c:v>44888</c:v>
                </c:pt>
                <c:pt idx="146">
                  <c:v>44889</c:v>
                </c:pt>
                <c:pt idx="147">
                  <c:v>44890</c:v>
                </c:pt>
                <c:pt idx="148">
                  <c:v>44891</c:v>
                </c:pt>
                <c:pt idx="149">
                  <c:v>44892</c:v>
                </c:pt>
                <c:pt idx="150">
                  <c:v>44893</c:v>
                </c:pt>
                <c:pt idx="151">
                  <c:v>44894</c:v>
                </c:pt>
                <c:pt idx="152">
                  <c:v>44895</c:v>
                </c:pt>
                <c:pt idx="153">
                  <c:v>44896</c:v>
                </c:pt>
                <c:pt idx="154">
                  <c:v>44897</c:v>
                </c:pt>
                <c:pt idx="155">
                  <c:v>44898</c:v>
                </c:pt>
                <c:pt idx="156">
                  <c:v>44899</c:v>
                </c:pt>
                <c:pt idx="157">
                  <c:v>44900</c:v>
                </c:pt>
                <c:pt idx="158">
                  <c:v>44901</c:v>
                </c:pt>
                <c:pt idx="159">
                  <c:v>44902</c:v>
                </c:pt>
                <c:pt idx="160">
                  <c:v>44903</c:v>
                </c:pt>
                <c:pt idx="161">
                  <c:v>44904</c:v>
                </c:pt>
                <c:pt idx="162">
                  <c:v>44905</c:v>
                </c:pt>
                <c:pt idx="163">
                  <c:v>44906</c:v>
                </c:pt>
                <c:pt idx="164">
                  <c:v>44907</c:v>
                </c:pt>
                <c:pt idx="165">
                  <c:v>44908</c:v>
                </c:pt>
                <c:pt idx="166">
                  <c:v>44909</c:v>
                </c:pt>
                <c:pt idx="167">
                  <c:v>44910</c:v>
                </c:pt>
                <c:pt idx="168">
                  <c:v>44911</c:v>
                </c:pt>
                <c:pt idx="169">
                  <c:v>44912</c:v>
                </c:pt>
                <c:pt idx="170">
                  <c:v>44913</c:v>
                </c:pt>
                <c:pt idx="171">
                  <c:v>44914</c:v>
                </c:pt>
                <c:pt idx="172">
                  <c:v>44915</c:v>
                </c:pt>
                <c:pt idx="173">
                  <c:v>44916</c:v>
                </c:pt>
                <c:pt idx="174">
                  <c:v>44917</c:v>
                </c:pt>
                <c:pt idx="175">
                  <c:v>44918</c:v>
                </c:pt>
                <c:pt idx="176">
                  <c:v>44919</c:v>
                </c:pt>
                <c:pt idx="177">
                  <c:v>44920</c:v>
                </c:pt>
                <c:pt idx="178">
                  <c:v>44921</c:v>
                </c:pt>
                <c:pt idx="179">
                  <c:v>44922</c:v>
                </c:pt>
                <c:pt idx="180">
                  <c:v>44923</c:v>
                </c:pt>
                <c:pt idx="181">
                  <c:v>44924</c:v>
                </c:pt>
                <c:pt idx="182">
                  <c:v>44925</c:v>
                </c:pt>
                <c:pt idx="183">
                  <c:v>44926</c:v>
                </c:pt>
                <c:pt idx="184">
                  <c:v>44927</c:v>
                </c:pt>
                <c:pt idx="185">
                  <c:v>44928</c:v>
                </c:pt>
                <c:pt idx="186">
                  <c:v>44929</c:v>
                </c:pt>
                <c:pt idx="187">
                  <c:v>44930</c:v>
                </c:pt>
                <c:pt idx="188">
                  <c:v>44931</c:v>
                </c:pt>
                <c:pt idx="189">
                  <c:v>44932</c:v>
                </c:pt>
                <c:pt idx="190">
                  <c:v>44933</c:v>
                </c:pt>
                <c:pt idx="191">
                  <c:v>44934</c:v>
                </c:pt>
                <c:pt idx="192">
                  <c:v>44935</c:v>
                </c:pt>
                <c:pt idx="193">
                  <c:v>44936</c:v>
                </c:pt>
                <c:pt idx="194">
                  <c:v>44937</c:v>
                </c:pt>
                <c:pt idx="195">
                  <c:v>44938</c:v>
                </c:pt>
                <c:pt idx="196">
                  <c:v>44939</c:v>
                </c:pt>
                <c:pt idx="197">
                  <c:v>44940</c:v>
                </c:pt>
                <c:pt idx="198">
                  <c:v>44941</c:v>
                </c:pt>
                <c:pt idx="199">
                  <c:v>44942</c:v>
                </c:pt>
                <c:pt idx="200">
                  <c:v>44943</c:v>
                </c:pt>
                <c:pt idx="201">
                  <c:v>44944</c:v>
                </c:pt>
                <c:pt idx="202">
                  <c:v>44945</c:v>
                </c:pt>
                <c:pt idx="203">
                  <c:v>44946</c:v>
                </c:pt>
                <c:pt idx="204">
                  <c:v>44947</c:v>
                </c:pt>
                <c:pt idx="205">
                  <c:v>44948</c:v>
                </c:pt>
                <c:pt idx="206">
                  <c:v>44949</c:v>
                </c:pt>
                <c:pt idx="207">
                  <c:v>44950</c:v>
                </c:pt>
                <c:pt idx="208">
                  <c:v>44951</c:v>
                </c:pt>
                <c:pt idx="209">
                  <c:v>44952</c:v>
                </c:pt>
                <c:pt idx="210">
                  <c:v>44953</c:v>
                </c:pt>
                <c:pt idx="211">
                  <c:v>44954</c:v>
                </c:pt>
                <c:pt idx="212">
                  <c:v>44955</c:v>
                </c:pt>
                <c:pt idx="213">
                  <c:v>44956</c:v>
                </c:pt>
                <c:pt idx="214">
                  <c:v>44957</c:v>
                </c:pt>
                <c:pt idx="215">
                  <c:v>44958</c:v>
                </c:pt>
                <c:pt idx="216">
                  <c:v>44959</c:v>
                </c:pt>
                <c:pt idx="217">
                  <c:v>44960</c:v>
                </c:pt>
                <c:pt idx="218">
                  <c:v>44961</c:v>
                </c:pt>
                <c:pt idx="219">
                  <c:v>44962</c:v>
                </c:pt>
                <c:pt idx="220">
                  <c:v>44963</c:v>
                </c:pt>
                <c:pt idx="221">
                  <c:v>44964</c:v>
                </c:pt>
                <c:pt idx="222">
                  <c:v>44965</c:v>
                </c:pt>
                <c:pt idx="223">
                  <c:v>44966</c:v>
                </c:pt>
                <c:pt idx="224">
                  <c:v>44967</c:v>
                </c:pt>
                <c:pt idx="225">
                  <c:v>44968</c:v>
                </c:pt>
                <c:pt idx="226">
                  <c:v>44969</c:v>
                </c:pt>
                <c:pt idx="227">
                  <c:v>44970</c:v>
                </c:pt>
                <c:pt idx="228">
                  <c:v>44971</c:v>
                </c:pt>
                <c:pt idx="229">
                  <c:v>44972</c:v>
                </c:pt>
                <c:pt idx="230">
                  <c:v>44973</c:v>
                </c:pt>
                <c:pt idx="231">
                  <c:v>44974</c:v>
                </c:pt>
                <c:pt idx="232">
                  <c:v>44975</c:v>
                </c:pt>
                <c:pt idx="233">
                  <c:v>44976</c:v>
                </c:pt>
                <c:pt idx="234">
                  <c:v>44977</c:v>
                </c:pt>
                <c:pt idx="235">
                  <c:v>44978</c:v>
                </c:pt>
                <c:pt idx="236">
                  <c:v>44979</c:v>
                </c:pt>
                <c:pt idx="237">
                  <c:v>44980</c:v>
                </c:pt>
                <c:pt idx="238">
                  <c:v>44981</c:v>
                </c:pt>
                <c:pt idx="239">
                  <c:v>44982</c:v>
                </c:pt>
                <c:pt idx="240">
                  <c:v>44983</c:v>
                </c:pt>
                <c:pt idx="241">
                  <c:v>44984</c:v>
                </c:pt>
                <c:pt idx="242">
                  <c:v>44985</c:v>
                </c:pt>
                <c:pt idx="243">
                  <c:v>44986</c:v>
                </c:pt>
                <c:pt idx="244">
                  <c:v>44987</c:v>
                </c:pt>
                <c:pt idx="245">
                  <c:v>44988</c:v>
                </c:pt>
                <c:pt idx="246">
                  <c:v>44989</c:v>
                </c:pt>
                <c:pt idx="247">
                  <c:v>44990</c:v>
                </c:pt>
                <c:pt idx="248">
                  <c:v>44991</c:v>
                </c:pt>
                <c:pt idx="249">
                  <c:v>44992</c:v>
                </c:pt>
                <c:pt idx="250">
                  <c:v>44993</c:v>
                </c:pt>
                <c:pt idx="251">
                  <c:v>44994</c:v>
                </c:pt>
                <c:pt idx="252">
                  <c:v>44995</c:v>
                </c:pt>
                <c:pt idx="253">
                  <c:v>44996</c:v>
                </c:pt>
                <c:pt idx="254">
                  <c:v>44997</c:v>
                </c:pt>
                <c:pt idx="255">
                  <c:v>44998</c:v>
                </c:pt>
                <c:pt idx="256">
                  <c:v>44999</c:v>
                </c:pt>
                <c:pt idx="257">
                  <c:v>45000</c:v>
                </c:pt>
                <c:pt idx="258">
                  <c:v>45001</c:v>
                </c:pt>
                <c:pt idx="259">
                  <c:v>45002</c:v>
                </c:pt>
                <c:pt idx="260">
                  <c:v>45003</c:v>
                </c:pt>
                <c:pt idx="261">
                  <c:v>45004</c:v>
                </c:pt>
                <c:pt idx="262">
                  <c:v>45005</c:v>
                </c:pt>
                <c:pt idx="263">
                  <c:v>45006</c:v>
                </c:pt>
                <c:pt idx="264">
                  <c:v>45007</c:v>
                </c:pt>
                <c:pt idx="265">
                  <c:v>45008</c:v>
                </c:pt>
                <c:pt idx="266">
                  <c:v>45009</c:v>
                </c:pt>
                <c:pt idx="267">
                  <c:v>45010</c:v>
                </c:pt>
                <c:pt idx="268">
                  <c:v>45011</c:v>
                </c:pt>
                <c:pt idx="269">
                  <c:v>45012</c:v>
                </c:pt>
                <c:pt idx="270">
                  <c:v>45013</c:v>
                </c:pt>
                <c:pt idx="271">
                  <c:v>45014</c:v>
                </c:pt>
                <c:pt idx="272">
                  <c:v>45015</c:v>
                </c:pt>
              </c:numCache>
            </c:numRef>
          </c:cat>
          <c:val>
            <c:numRef>
              <c:f>Визуализация!$F$2:$F$274</c:f>
              <c:numCache>
                <c:formatCode>General</c:formatCode>
                <c:ptCount val="273"/>
                <c:pt idx="0">
                  <c:v>259</c:v>
                </c:pt>
                <c:pt idx="1">
                  <c:v>259</c:v>
                </c:pt>
                <c:pt idx="2">
                  <c:v>259</c:v>
                </c:pt>
                <c:pt idx="3">
                  <c:v>259</c:v>
                </c:pt>
                <c:pt idx="4">
                  <c:v>259</c:v>
                </c:pt>
                <c:pt idx="5">
                  <c:v>259</c:v>
                </c:pt>
                <c:pt idx="6">
                  <c:v>259</c:v>
                </c:pt>
                <c:pt idx="7">
                  <c:v>259</c:v>
                </c:pt>
                <c:pt idx="8">
                  <c:v>259</c:v>
                </c:pt>
                <c:pt idx="9">
                  <c:v>259</c:v>
                </c:pt>
                <c:pt idx="10">
                  <c:v>259</c:v>
                </c:pt>
                <c:pt idx="11">
                  <c:v>259</c:v>
                </c:pt>
                <c:pt idx="12">
                  <c:v>259</c:v>
                </c:pt>
                <c:pt idx="13">
                  <c:v>259</c:v>
                </c:pt>
                <c:pt idx="14">
                  <c:v>259</c:v>
                </c:pt>
                <c:pt idx="15">
                  <c:v>259</c:v>
                </c:pt>
                <c:pt idx="16">
                  <c:v>259</c:v>
                </c:pt>
                <c:pt idx="17">
                  <c:v>259</c:v>
                </c:pt>
                <c:pt idx="18">
                  <c:v>259</c:v>
                </c:pt>
                <c:pt idx="19">
                  <c:v>259</c:v>
                </c:pt>
                <c:pt idx="20">
                  <c:v>259</c:v>
                </c:pt>
                <c:pt idx="21">
                  <c:v>259</c:v>
                </c:pt>
                <c:pt idx="22">
                  <c:v>259</c:v>
                </c:pt>
                <c:pt idx="23">
                  <c:v>259</c:v>
                </c:pt>
                <c:pt idx="24">
                  <c:v>259</c:v>
                </c:pt>
                <c:pt idx="25">
                  <c:v>259</c:v>
                </c:pt>
                <c:pt idx="26">
                  <c:v>259</c:v>
                </c:pt>
                <c:pt idx="27">
                  <c:v>259</c:v>
                </c:pt>
                <c:pt idx="28">
                  <c:v>259</c:v>
                </c:pt>
                <c:pt idx="29">
                  <c:v>259</c:v>
                </c:pt>
                <c:pt idx="30">
                  <c:v>259</c:v>
                </c:pt>
                <c:pt idx="31">
                  <c:v>235</c:v>
                </c:pt>
                <c:pt idx="32">
                  <c:v>235</c:v>
                </c:pt>
                <c:pt idx="33">
                  <c:v>235</c:v>
                </c:pt>
                <c:pt idx="34">
                  <c:v>235</c:v>
                </c:pt>
                <c:pt idx="35">
                  <c:v>235</c:v>
                </c:pt>
                <c:pt idx="36">
                  <c:v>235</c:v>
                </c:pt>
                <c:pt idx="37">
                  <c:v>235</c:v>
                </c:pt>
                <c:pt idx="38">
                  <c:v>235</c:v>
                </c:pt>
                <c:pt idx="39">
                  <c:v>235</c:v>
                </c:pt>
                <c:pt idx="40">
                  <c:v>235</c:v>
                </c:pt>
                <c:pt idx="41">
                  <c:v>235</c:v>
                </c:pt>
                <c:pt idx="42">
                  <c:v>235</c:v>
                </c:pt>
                <c:pt idx="43">
                  <c:v>235</c:v>
                </c:pt>
                <c:pt idx="44">
                  <c:v>235</c:v>
                </c:pt>
                <c:pt idx="45">
                  <c:v>235</c:v>
                </c:pt>
                <c:pt idx="46">
                  <c:v>235</c:v>
                </c:pt>
                <c:pt idx="47">
                  <c:v>235</c:v>
                </c:pt>
                <c:pt idx="48">
                  <c:v>235</c:v>
                </c:pt>
                <c:pt idx="49">
                  <c:v>235</c:v>
                </c:pt>
                <c:pt idx="50">
                  <c:v>235</c:v>
                </c:pt>
                <c:pt idx="51">
                  <c:v>235</c:v>
                </c:pt>
                <c:pt idx="52">
                  <c:v>235</c:v>
                </c:pt>
                <c:pt idx="53">
                  <c:v>235</c:v>
                </c:pt>
                <c:pt idx="54">
                  <c:v>235</c:v>
                </c:pt>
                <c:pt idx="55">
                  <c:v>235</c:v>
                </c:pt>
                <c:pt idx="56">
                  <c:v>235</c:v>
                </c:pt>
                <c:pt idx="57">
                  <c:v>235</c:v>
                </c:pt>
                <c:pt idx="58">
                  <c:v>235</c:v>
                </c:pt>
                <c:pt idx="59">
                  <c:v>235</c:v>
                </c:pt>
                <c:pt idx="60">
                  <c:v>235</c:v>
                </c:pt>
                <c:pt idx="61">
                  <c:v>235</c:v>
                </c:pt>
                <c:pt idx="62">
                  <c:v>257</c:v>
                </c:pt>
                <c:pt idx="63">
                  <c:v>257</c:v>
                </c:pt>
                <c:pt idx="64">
                  <c:v>257</c:v>
                </c:pt>
                <c:pt idx="65">
                  <c:v>257</c:v>
                </c:pt>
                <c:pt idx="66">
                  <c:v>257</c:v>
                </c:pt>
                <c:pt idx="67">
                  <c:v>257</c:v>
                </c:pt>
                <c:pt idx="68">
                  <c:v>257</c:v>
                </c:pt>
                <c:pt idx="69">
                  <c:v>257</c:v>
                </c:pt>
                <c:pt idx="70">
                  <c:v>257</c:v>
                </c:pt>
                <c:pt idx="71">
                  <c:v>257</c:v>
                </c:pt>
                <c:pt idx="72">
                  <c:v>257</c:v>
                </c:pt>
                <c:pt idx="73">
                  <c:v>257</c:v>
                </c:pt>
                <c:pt idx="74">
                  <c:v>257</c:v>
                </c:pt>
                <c:pt idx="75">
                  <c:v>257</c:v>
                </c:pt>
                <c:pt idx="76">
                  <c:v>257</c:v>
                </c:pt>
                <c:pt idx="77">
                  <c:v>257</c:v>
                </c:pt>
                <c:pt idx="78">
                  <c:v>257</c:v>
                </c:pt>
                <c:pt idx="79">
                  <c:v>257</c:v>
                </c:pt>
                <c:pt idx="80">
                  <c:v>257</c:v>
                </c:pt>
                <c:pt idx="81">
                  <c:v>257</c:v>
                </c:pt>
                <c:pt idx="82">
                  <c:v>257</c:v>
                </c:pt>
                <c:pt idx="83">
                  <c:v>257</c:v>
                </c:pt>
                <c:pt idx="84">
                  <c:v>257</c:v>
                </c:pt>
                <c:pt idx="85">
                  <c:v>257</c:v>
                </c:pt>
                <c:pt idx="86">
                  <c:v>257</c:v>
                </c:pt>
                <c:pt idx="87">
                  <c:v>257</c:v>
                </c:pt>
                <c:pt idx="88">
                  <c:v>257</c:v>
                </c:pt>
                <c:pt idx="89">
                  <c:v>257</c:v>
                </c:pt>
                <c:pt idx="90">
                  <c:v>257</c:v>
                </c:pt>
                <c:pt idx="91">
                  <c:v>257</c:v>
                </c:pt>
                <c:pt idx="92">
                  <c:v>263</c:v>
                </c:pt>
                <c:pt idx="93">
                  <c:v>263</c:v>
                </c:pt>
                <c:pt idx="94">
                  <c:v>263</c:v>
                </c:pt>
                <c:pt idx="95">
                  <c:v>263</c:v>
                </c:pt>
                <c:pt idx="96">
                  <c:v>263</c:v>
                </c:pt>
                <c:pt idx="97">
                  <c:v>263</c:v>
                </c:pt>
                <c:pt idx="98">
                  <c:v>263</c:v>
                </c:pt>
                <c:pt idx="99">
                  <c:v>263</c:v>
                </c:pt>
                <c:pt idx="100">
                  <c:v>263</c:v>
                </c:pt>
                <c:pt idx="101">
                  <c:v>263</c:v>
                </c:pt>
                <c:pt idx="102">
                  <c:v>263</c:v>
                </c:pt>
                <c:pt idx="103">
                  <c:v>263</c:v>
                </c:pt>
                <c:pt idx="104">
                  <c:v>263</c:v>
                </c:pt>
                <c:pt idx="105">
                  <c:v>263</c:v>
                </c:pt>
                <c:pt idx="106">
                  <c:v>263</c:v>
                </c:pt>
                <c:pt idx="107">
                  <c:v>263</c:v>
                </c:pt>
                <c:pt idx="108">
                  <c:v>263</c:v>
                </c:pt>
                <c:pt idx="109">
                  <c:v>263</c:v>
                </c:pt>
                <c:pt idx="110">
                  <c:v>263</c:v>
                </c:pt>
                <c:pt idx="111">
                  <c:v>263</c:v>
                </c:pt>
                <c:pt idx="112">
                  <c:v>263</c:v>
                </c:pt>
                <c:pt idx="113">
                  <c:v>263</c:v>
                </c:pt>
                <c:pt idx="114">
                  <c:v>263</c:v>
                </c:pt>
                <c:pt idx="115">
                  <c:v>263</c:v>
                </c:pt>
                <c:pt idx="116">
                  <c:v>263</c:v>
                </c:pt>
                <c:pt idx="117">
                  <c:v>263</c:v>
                </c:pt>
                <c:pt idx="118">
                  <c:v>263</c:v>
                </c:pt>
                <c:pt idx="119">
                  <c:v>263</c:v>
                </c:pt>
                <c:pt idx="120">
                  <c:v>263</c:v>
                </c:pt>
                <c:pt idx="121">
                  <c:v>263</c:v>
                </c:pt>
                <c:pt idx="122">
                  <c:v>263</c:v>
                </c:pt>
                <c:pt idx="123">
                  <c:v>255</c:v>
                </c:pt>
                <c:pt idx="124">
                  <c:v>255</c:v>
                </c:pt>
                <c:pt idx="125">
                  <c:v>255</c:v>
                </c:pt>
                <c:pt idx="126">
                  <c:v>255</c:v>
                </c:pt>
                <c:pt idx="127">
                  <c:v>255</c:v>
                </c:pt>
                <c:pt idx="128">
                  <c:v>255</c:v>
                </c:pt>
                <c:pt idx="129">
                  <c:v>255</c:v>
                </c:pt>
                <c:pt idx="130">
                  <c:v>255</c:v>
                </c:pt>
                <c:pt idx="131">
                  <c:v>255</c:v>
                </c:pt>
                <c:pt idx="132">
                  <c:v>255</c:v>
                </c:pt>
                <c:pt idx="133">
                  <c:v>255</c:v>
                </c:pt>
                <c:pt idx="134">
                  <c:v>255</c:v>
                </c:pt>
                <c:pt idx="135">
                  <c:v>255</c:v>
                </c:pt>
                <c:pt idx="136">
                  <c:v>255</c:v>
                </c:pt>
                <c:pt idx="137">
                  <c:v>255</c:v>
                </c:pt>
                <c:pt idx="138">
                  <c:v>255</c:v>
                </c:pt>
                <c:pt idx="139">
                  <c:v>255</c:v>
                </c:pt>
                <c:pt idx="140">
                  <c:v>255</c:v>
                </c:pt>
                <c:pt idx="141">
                  <c:v>255</c:v>
                </c:pt>
                <c:pt idx="142">
                  <c:v>255</c:v>
                </c:pt>
                <c:pt idx="143">
                  <c:v>255</c:v>
                </c:pt>
                <c:pt idx="144">
                  <c:v>255</c:v>
                </c:pt>
                <c:pt idx="145">
                  <c:v>255</c:v>
                </c:pt>
                <c:pt idx="146">
                  <c:v>255</c:v>
                </c:pt>
                <c:pt idx="147">
                  <c:v>255</c:v>
                </c:pt>
                <c:pt idx="148">
                  <c:v>255</c:v>
                </c:pt>
                <c:pt idx="149">
                  <c:v>255</c:v>
                </c:pt>
                <c:pt idx="150">
                  <c:v>255</c:v>
                </c:pt>
                <c:pt idx="151">
                  <c:v>255</c:v>
                </c:pt>
                <c:pt idx="152">
                  <c:v>255</c:v>
                </c:pt>
                <c:pt idx="153">
                  <c:v>255</c:v>
                </c:pt>
                <c:pt idx="154">
                  <c:v>255</c:v>
                </c:pt>
                <c:pt idx="155">
                  <c:v>255</c:v>
                </c:pt>
                <c:pt idx="156">
                  <c:v>255</c:v>
                </c:pt>
                <c:pt idx="157">
                  <c:v>255</c:v>
                </c:pt>
                <c:pt idx="158">
                  <c:v>255</c:v>
                </c:pt>
                <c:pt idx="159">
                  <c:v>255</c:v>
                </c:pt>
                <c:pt idx="160">
                  <c:v>255</c:v>
                </c:pt>
                <c:pt idx="161">
                  <c:v>255</c:v>
                </c:pt>
                <c:pt idx="162">
                  <c:v>255</c:v>
                </c:pt>
                <c:pt idx="163">
                  <c:v>255</c:v>
                </c:pt>
                <c:pt idx="164">
                  <c:v>255</c:v>
                </c:pt>
                <c:pt idx="165">
                  <c:v>255</c:v>
                </c:pt>
                <c:pt idx="166">
                  <c:v>255</c:v>
                </c:pt>
                <c:pt idx="167">
                  <c:v>255</c:v>
                </c:pt>
                <c:pt idx="168">
                  <c:v>255</c:v>
                </c:pt>
                <c:pt idx="169">
                  <c:v>255</c:v>
                </c:pt>
                <c:pt idx="170">
                  <c:v>255</c:v>
                </c:pt>
                <c:pt idx="171">
                  <c:v>255</c:v>
                </c:pt>
                <c:pt idx="172">
                  <c:v>255</c:v>
                </c:pt>
                <c:pt idx="173">
                  <c:v>255</c:v>
                </c:pt>
                <c:pt idx="174">
                  <c:v>255</c:v>
                </c:pt>
                <c:pt idx="175">
                  <c:v>255</c:v>
                </c:pt>
                <c:pt idx="176">
                  <c:v>255</c:v>
                </c:pt>
                <c:pt idx="177">
                  <c:v>255</c:v>
                </c:pt>
                <c:pt idx="178">
                  <c:v>255</c:v>
                </c:pt>
                <c:pt idx="179">
                  <c:v>255</c:v>
                </c:pt>
                <c:pt idx="180">
                  <c:v>255</c:v>
                </c:pt>
                <c:pt idx="181">
                  <c:v>255</c:v>
                </c:pt>
                <c:pt idx="182">
                  <c:v>255</c:v>
                </c:pt>
                <c:pt idx="183">
                  <c:v>255</c:v>
                </c:pt>
                <c:pt idx="184">
                  <c:v>415</c:v>
                </c:pt>
                <c:pt idx="185">
                  <c:v>415</c:v>
                </c:pt>
                <c:pt idx="186">
                  <c:v>415</c:v>
                </c:pt>
                <c:pt idx="187">
                  <c:v>415</c:v>
                </c:pt>
                <c:pt idx="188">
                  <c:v>415</c:v>
                </c:pt>
                <c:pt idx="189">
                  <c:v>415</c:v>
                </c:pt>
                <c:pt idx="190">
                  <c:v>415</c:v>
                </c:pt>
                <c:pt idx="191">
                  <c:v>415</c:v>
                </c:pt>
                <c:pt idx="192">
                  <c:v>415</c:v>
                </c:pt>
                <c:pt idx="193">
                  <c:v>415</c:v>
                </c:pt>
                <c:pt idx="194">
                  <c:v>415</c:v>
                </c:pt>
                <c:pt idx="195">
                  <c:v>415</c:v>
                </c:pt>
                <c:pt idx="196">
                  <c:v>415</c:v>
                </c:pt>
                <c:pt idx="197">
                  <c:v>415</c:v>
                </c:pt>
                <c:pt idx="198">
                  <c:v>415</c:v>
                </c:pt>
                <c:pt idx="199">
                  <c:v>415</c:v>
                </c:pt>
                <c:pt idx="200">
                  <c:v>415</c:v>
                </c:pt>
                <c:pt idx="201">
                  <c:v>415</c:v>
                </c:pt>
                <c:pt idx="202">
                  <c:v>415</c:v>
                </c:pt>
                <c:pt idx="203">
                  <c:v>415</c:v>
                </c:pt>
                <c:pt idx="204">
                  <c:v>415</c:v>
                </c:pt>
                <c:pt idx="205">
                  <c:v>415</c:v>
                </c:pt>
                <c:pt idx="206">
                  <c:v>415</c:v>
                </c:pt>
                <c:pt idx="207">
                  <c:v>415</c:v>
                </c:pt>
                <c:pt idx="208">
                  <c:v>415</c:v>
                </c:pt>
                <c:pt idx="209">
                  <c:v>415</c:v>
                </c:pt>
                <c:pt idx="210">
                  <c:v>415</c:v>
                </c:pt>
                <c:pt idx="211">
                  <c:v>415</c:v>
                </c:pt>
                <c:pt idx="212">
                  <c:v>415</c:v>
                </c:pt>
                <c:pt idx="213">
                  <c:v>415</c:v>
                </c:pt>
                <c:pt idx="214">
                  <c:v>415</c:v>
                </c:pt>
                <c:pt idx="215">
                  <c:v>458</c:v>
                </c:pt>
                <c:pt idx="216">
                  <c:v>458</c:v>
                </c:pt>
                <c:pt idx="217">
                  <c:v>458</c:v>
                </c:pt>
                <c:pt idx="218">
                  <c:v>458</c:v>
                </c:pt>
                <c:pt idx="219">
                  <c:v>458</c:v>
                </c:pt>
                <c:pt idx="220">
                  <c:v>458</c:v>
                </c:pt>
                <c:pt idx="221">
                  <c:v>458</c:v>
                </c:pt>
                <c:pt idx="222">
                  <c:v>458</c:v>
                </c:pt>
                <c:pt idx="223">
                  <c:v>458</c:v>
                </c:pt>
                <c:pt idx="224">
                  <c:v>458</c:v>
                </c:pt>
                <c:pt idx="225">
                  <c:v>458</c:v>
                </c:pt>
                <c:pt idx="226">
                  <c:v>458</c:v>
                </c:pt>
                <c:pt idx="227">
                  <c:v>458</c:v>
                </c:pt>
                <c:pt idx="228">
                  <c:v>458</c:v>
                </c:pt>
                <c:pt idx="229">
                  <c:v>458</c:v>
                </c:pt>
                <c:pt idx="230">
                  <c:v>458</c:v>
                </c:pt>
                <c:pt idx="231">
                  <c:v>458</c:v>
                </c:pt>
                <c:pt idx="232">
                  <c:v>458</c:v>
                </c:pt>
                <c:pt idx="233">
                  <c:v>458</c:v>
                </c:pt>
                <c:pt idx="234">
                  <c:v>458</c:v>
                </c:pt>
                <c:pt idx="235">
                  <c:v>458</c:v>
                </c:pt>
                <c:pt idx="236">
                  <c:v>458</c:v>
                </c:pt>
                <c:pt idx="237">
                  <c:v>458</c:v>
                </c:pt>
                <c:pt idx="238">
                  <c:v>458</c:v>
                </c:pt>
                <c:pt idx="239">
                  <c:v>458</c:v>
                </c:pt>
                <c:pt idx="240">
                  <c:v>458</c:v>
                </c:pt>
                <c:pt idx="241">
                  <c:v>458</c:v>
                </c:pt>
                <c:pt idx="242">
                  <c:v>458</c:v>
                </c:pt>
                <c:pt idx="243">
                  <c:v>681</c:v>
                </c:pt>
                <c:pt idx="244">
                  <c:v>681</c:v>
                </c:pt>
                <c:pt idx="245">
                  <c:v>681</c:v>
                </c:pt>
                <c:pt idx="246">
                  <c:v>681</c:v>
                </c:pt>
                <c:pt idx="247">
                  <c:v>681</c:v>
                </c:pt>
                <c:pt idx="248">
                  <c:v>681</c:v>
                </c:pt>
                <c:pt idx="249">
                  <c:v>681</c:v>
                </c:pt>
                <c:pt idx="250">
                  <c:v>681</c:v>
                </c:pt>
                <c:pt idx="251">
                  <c:v>681</c:v>
                </c:pt>
                <c:pt idx="252">
                  <c:v>681</c:v>
                </c:pt>
                <c:pt idx="253">
                  <c:v>681</c:v>
                </c:pt>
                <c:pt idx="254">
                  <c:v>681</c:v>
                </c:pt>
                <c:pt idx="255">
                  <c:v>681</c:v>
                </c:pt>
                <c:pt idx="256">
                  <c:v>681</c:v>
                </c:pt>
                <c:pt idx="257">
                  <c:v>681</c:v>
                </c:pt>
                <c:pt idx="258">
                  <c:v>681</c:v>
                </c:pt>
                <c:pt idx="259">
                  <c:v>681</c:v>
                </c:pt>
                <c:pt idx="260">
                  <c:v>681</c:v>
                </c:pt>
                <c:pt idx="261">
                  <c:v>681</c:v>
                </c:pt>
                <c:pt idx="262">
                  <c:v>681</c:v>
                </c:pt>
                <c:pt idx="263">
                  <c:v>681</c:v>
                </c:pt>
                <c:pt idx="264">
                  <c:v>681</c:v>
                </c:pt>
                <c:pt idx="265">
                  <c:v>681</c:v>
                </c:pt>
                <c:pt idx="266">
                  <c:v>681</c:v>
                </c:pt>
                <c:pt idx="267">
                  <c:v>681</c:v>
                </c:pt>
                <c:pt idx="268">
                  <c:v>681</c:v>
                </c:pt>
                <c:pt idx="269">
                  <c:v>681</c:v>
                </c:pt>
                <c:pt idx="270">
                  <c:v>681</c:v>
                </c:pt>
                <c:pt idx="271">
                  <c:v>681</c:v>
                </c:pt>
                <c:pt idx="272">
                  <c:v>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E9-433D-8CAC-60AC71B7A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2540095"/>
        <c:axId val="372540927"/>
      </c:lineChart>
      <c:lineChart>
        <c:grouping val="standard"/>
        <c:varyColors val="0"/>
        <c:ser>
          <c:idx val="0"/>
          <c:order val="0"/>
          <c:tx>
            <c:strRef>
              <c:f>Визуализация!$D$1</c:f>
              <c:strCache>
                <c:ptCount val="1"/>
                <c:pt idx="0">
                  <c:v>DAU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Визуализация!$C$2:$C$274</c:f>
              <c:numCache>
                <c:formatCode>m/d/yyyy</c:formatCode>
                <c:ptCount val="273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  <c:pt idx="30">
                  <c:v>44773</c:v>
                </c:pt>
                <c:pt idx="31">
                  <c:v>44774</c:v>
                </c:pt>
                <c:pt idx="32">
                  <c:v>44775</c:v>
                </c:pt>
                <c:pt idx="33">
                  <c:v>44776</c:v>
                </c:pt>
                <c:pt idx="34">
                  <c:v>44777</c:v>
                </c:pt>
                <c:pt idx="35">
                  <c:v>44778</c:v>
                </c:pt>
                <c:pt idx="36">
                  <c:v>44779</c:v>
                </c:pt>
                <c:pt idx="37">
                  <c:v>44780</c:v>
                </c:pt>
                <c:pt idx="38">
                  <c:v>44781</c:v>
                </c:pt>
                <c:pt idx="39">
                  <c:v>44782</c:v>
                </c:pt>
                <c:pt idx="40">
                  <c:v>44783</c:v>
                </c:pt>
                <c:pt idx="41">
                  <c:v>44784</c:v>
                </c:pt>
                <c:pt idx="42">
                  <c:v>44785</c:v>
                </c:pt>
                <c:pt idx="43">
                  <c:v>44786</c:v>
                </c:pt>
                <c:pt idx="44">
                  <c:v>44787</c:v>
                </c:pt>
                <c:pt idx="45">
                  <c:v>44788</c:v>
                </c:pt>
                <c:pt idx="46">
                  <c:v>44789</c:v>
                </c:pt>
                <c:pt idx="47">
                  <c:v>44790</c:v>
                </c:pt>
                <c:pt idx="48">
                  <c:v>44791</c:v>
                </c:pt>
                <c:pt idx="49">
                  <c:v>44792</c:v>
                </c:pt>
                <c:pt idx="50">
                  <c:v>44793</c:v>
                </c:pt>
                <c:pt idx="51">
                  <c:v>44794</c:v>
                </c:pt>
                <c:pt idx="52">
                  <c:v>44795</c:v>
                </c:pt>
                <c:pt idx="53">
                  <c:v>44796</c:v>
                </c:pt>
                <c:pt idx="54">
                  <c:v>44797</c:v>
                </c:pt>
                <c:pt idx="55">
                  <c:v>44798</c:v>
                </c:pt>
                <c:pt idx="56">
                  <c:v>44799</c:v>
                </c:pt>
                <c:pt idx="57">
                  <c:v>44800</c:v>
                </c:pt>
                <c:pt idx="58">
                  <c:v>44801</c:v>
                </c:pt>
                <c:pt idx="59">
                  <c:v>44802</c:v>
                </c:pt>
                <c:pt idx="60">
                  <c:v>44803</c:v>
                </c:pt>
                <c:pt idx="61">
                  <c:v>44804</c:v>
                </c:pt>
                <c:pt idx="62">
                  <c:v>44805</c:v>
                </c:pt>
                <c:pt idx="63">
                  <c:v>44806</c:v>
                </c:pt>
                <c:pt idx="64">
                  <c:v>44807</c:v>
                </c:pt>
                <c:pt idx="65">
                  <c:v>44808</c:v>
                </c:pt>
                <c:pt idx="66">
                  <c:v>44809</c:v>
                </c:pt>
                <c:pt idx="67">
                  <c:v>44810</c:v>
                </c:pt>
                <c:pt idx="68">
                  <c:v>44811</c:v>
                </c:pt>
                <c:pt idx="69">
                  <c:v>44812</c:v>
                </c:pt>
                <c:pt idx="70">
                  <c:v>44813</c:v>
                </c:pt>
                <c:pt idx="71">
                  <c:v>44814</c:v>
                </c:pt>
                <c:pt idx="72">
                  <c:v>44815</c:v>
                </c:pt>
                <c:pt idx="73">
                  <c:v>44816</c:v>
                </c:pt>
                <c:pt idx="74">
                  <c:v>44817</c:v>
                </c:pt>
                <c:pt idx="75">
                  <c:v>44818</c:v>
                </c:pt>
                <c:pt idx="76">
                  <c:v>44819</c:v>
                </c:pt>
                <c:pt idx="77">
                  <c:v>44820</c:v>
                </c:pt>
                <c:pt idx="78">
                  <c:v>44821</c:v>
                </c:pt>
                <c:pt idx="79">
                  <c:v>44822</c:v>
                </c:pt>
                <c:pt idx="80">
                  <c:v>44823</c:v>
                </c:pt>
                <c:pt idx="81">
                  <c:v>44824</c:v>
                </c:pt>
                <c:pt idx="82">
                  <c:v>44825</c:v>
                </c:pt>
                <c:pt idx="83">
                  <c:v>44826</c:v>
                </c:pt>
                <c:pt idx="84">
                  <c:v>44827</c:v>
                </c:pt>
                <c:pt idx="85">
                  <c:v>44828</c:v>
                </c:pt>
                <c:pt idx="86">
                  <c:v>44829</c:v>
                </c:pt>
                <c:pt idx="87">
                  <c:v>44830</c:v>
                </c:pt>
                <c:pt idx="88">
                  <c:v>44831</c:v>
                </c:pt>
                <c:pt idx="89">
                  <c:v>44832</c:v>
                </c:pt>
                <c:pt idx="90">
                  <c:v>44833</c:v>
                </c:pt>
                <c:pt idx="91">
                  <c:v>44834</c:v>
                </c:pt>
                <c:pt idx="92">
                  <c:v>44835</c:v>
                </c:pt>
                <c:pt idx="93">
                  <c:v>44836</c:v>
                </c:pt>
                <c:pt idx="94">
                  <c:v>44837</c:v>
                </c:pt>
                <c:pt idx="95">
                  <c:v>44838</c:v>
                </c:pt>
                <c:pt idx="96">
                  <c:v>44839</c:v>
                </c:pt>
                <c:pt idx="97">
                  <c:v>44840</c:v>
                </c:pt>
                <c:pt idx="98">
                  <c:v>44841</c:v>
                </c:pt>
                <c:pt idx="99">
                  <c:v>44842</c:v>
                </c:pt>
                <c:pt idx="100">
                  <c:v>44843</c:v>
                </c:pt>
                <c:pt idx="101">
                  <c:v>44844</c:v>
                </c:pt>
                <c:pt idx="102">
                  <c:v>44845</c:v>
                </c:pt>
                <c:pt idx="103">
                  <c:v>44846</c:v>
                </c:pt>
                <c:pt idx="104">
                  <c:v>44847</c:v>
                </c:pt>
                <c:pt idx="105">
                  <c:v>44848</c:v>
                </c:pt>
                <c:pt idx="106">
                  <c:v>44849</c:v>
                </c:pt>
                <c:pt idx="107">
                  <c:v>44850</c:v>
                </c:pt>
                <c:pt idx="108">
                  <c:v>44851</c:v>
                </c:pt>
                <c:pt idx="109">
                  <c:v>44852</c:v>
                </c:pt>
                <c:pt idx="110">
                  <c:v>44853</c:v>
                </c:pt>
                <c:pt idx="111">
                  <c:v>44854</c:v>
                </c:pt>
                <c:pt idx="112">
                  <c:v>44855</c:v>
                </c:pt>
                <c:pt idx="113">
                  <c:v>44856</c:v>
                </c:pt>
                <c:pt idx="114">
                  <c:v>44857</c:v>
                </c:pt>
                <c:pt idx="115">
                  <c:v>44858</c:v>
                </c:pt>
                <c:pt idx="116">
                  <c:v>44859</c:v>
                </c:pt>
                <c:pt idx="117">
                  <c:v>44860</c:v>
                </c:pt>
                <c:pt idx="118">
                  <c:v>44861</c:v>
                </c:pt>
                <c:pt idx="119">
                  <c:v>44862</c:v>
                </c:pt>
                <c:pt idx="120">
                  <c:v>44863</c:v>
                </c:pt>
                <c:pt idx="121">
                  <c:v>44864</c:v>
                </c:pt>
                <c:pt idx="122">
                  <c:v>44865</c:v>
                </c:pt>
                <c:pt idx="123">
                  <c:v>44866</c:v>
                </c:pt>
                <c:pt idx="124">
                  <c:v>44867</c:v>
                </c:pt>
                <c:pt idx="125">
                  <c:v>44868</c:v>
                </c:pt>
                <c:pt idx="126">
                  <c:v>44869</c:v>
                </c:pt>
                <c:pt idx="127">
                  <c:v>44870</c:v>
                </c:pt>
                <c:pt idx="128">
                  <c:v>44871</c:v>
                </c:pt>
                <c:pt idx="129">
                  <c:v>44872</c:v>
                </c:pt>
                <c:pt idx="130">
                  <c:v>44873</c:v>
                </c:pt>
                <c:pt idx="131">
                  <c:v>44874</c:v>
                </c:pt>
                <c:pt idx="132">
                  <c:v>44875</c:v>
                </c:pt>
                <c:pt idx="133">
                  <c:v>44876</c:v>
                </c:pt>
                <c:pt idx="134">
                  <c:v>44877</c:v>
                </c:pt>
                <c:pt idx="135">
                  <c:v>44878</c:v>
                </c:pt>
                <c:pt idx="136">
                  <c:v>44879</c:v>
                </c:pt>
                <c:pt idx="137">
                  <c:v>44880</c:v>
                </c:pt>
                <c:pt idx="138">
                  <c:v>44881</c:v>
                </c:pt>
                <c:pt idx="139">
                  <c:v>44882</c:v>
                </c:pt>
                <c:pt idx="140">
                  <c:v>44883</c:v>
                </c:pt>
                <c:pt idx="141">
                  <c:v>44884</c:v>
                </c:pt>
                <c:pt idx="142">
                  <c:v>44885</c:v>
                </c:pt>
                <c:pt idx="143">
                  <c:v>44886</c:v>
                </c:pt>
                <c:pt idx="144">
                  <c:v>44887</c:v>
                </c:pt>
                <c:pt idx="145">
                  <c:v>44888</c:v>
                </c:pt>
                <c:pt idx="146">
                  <c:v>44889</c:v>
                </c:pt>
                <c:pt idx="147">
                  <c:v>44890</c:v>
                </c:pt>
                <c:pt idx="148">
                  <c:v>44891</c:v>
                </c:pt>
                <c:pt idx="149">
                  <c:v>44892</c:v>
                </c:pt>
                <c:pt idx="150">
                  <c:v>44893</c:v>
                </c:pt>
                <c:pt idx="151">
                  <c:v>44894</c:v>
                </c:pt>
                <c:pt idx="152">
                  <c:v>44895</c:v>
                </c:pt>
                <c:pt idx="153">
                  <c:v>44896</c:v>
                </c:pt>
                <c:pt idx="154">
                  <c:v>44897</c:v>
                </c:pt>
                <c:pt idx="155">
                  <c:v>44898</c:v>
                </c:pt>
                <c:pt idx="156">
                  <c:v>44899</c:v>
                </c:pt>
                <c:pt idx="157">
                  <c:v>44900</c:v>
                </c:pt>
                <c:pt idx="158">
                  <c:v>44901</c:v>
                </c:pt>
                <c:pt idx="159">
                  <c:v>44902</c:v>
                </c:pt>
                <c:pt idx="160">
                  <c:v>44903</c:v>
                </c:pt>
                <c:pt idx="161">
                  <c:v>44904</c:v>
                </c:pt>
                <c:pt idx="162">
                  <c:v>44905</c:v>
                </c:pt>
                <c:pt idx="163">
                  <c:v>44906</c:v>
                </c:pt>
                <c:pt idx="164">
                  <c:v>44907</c:v>
                </c:pt>
                <c:pt idx="165">
                  <c:v>44908</c:v>
                </c:pt>
                <c:pt idx="166">
                  <c:v>44909</c:v>
                </c:pt>
                <c:pt idx="167">
                  <c:v>44910</c:v>
                </c:pt>
                <c:pt idx="168">
                  <c:v>44911</c:v>
                </c:pt>
                <c:pt idx="169">
                  <c:v>44912</c:v>
                </c:pt>
                <c:pt idx="170">
                  <c:v>44913</c:v>
                </c:pt>
                <c:pt idx="171">
                  <c:v>44914</c:v>
                </c:pt>
                <c:pt idx="172">
                  <c:v>44915</c:v>
                </c:pt>
                <c:pt idx="173">
                  <c:v>44916</c:v>
                </c:pt>
                <c:pt idx="174">
                  <c:v>44917</c:v>
                </c:pt>
                <c:pt idx="175">
                  <c:v>44918</c:v>
                </c:pt>
                <c:pt idx="176">
                  <c:v>44919</c:v>
                </c:pt>
                <c:pt idx="177">
                  <c:v>44920</c:v>
                </c:pt>
                <c:pt idx="178">
                  <c:v>44921</c:v>
                </c:pt>
                <c:pt idx="179">
                  <c:v>44922</c:v>
                </c:pt>
                <c:pt idx="180">
                  <c:v>44923</c:v>
                </c:pt>
                <c:pt idx="181">
                  <c:v>44924</c:v>
                </c:pt>
                <c:pt idx="182">
                  <c:v>44925</c:v>
                </c:pt>
                <c:pt idx="183">
                  <c:v>44926</c:v>
                </c:pt>
                <c:pt idx="184">
                  <c:v>44927</c:v>
                </c:pt>
                <c:pt idx="185">
                  <c:v>44928</c:v>
                </c:pt>
                <c:pt idx="186">
                  <c:v>44929</c:v>
                </c:pt>
                <c:pt idx="187">
                  <c:v>44930</c:v>
                </c:pt>
                <c:pt idx="188">
                  <c:v>44931</c:v>
                </c:pt>
                <c:pt idx="189">
                  <c:v>44932</c:v>
                </c:pt>
                <c:pt idx="190">
                  <c:v>44933</c:v>
                </c:pt>
                <c:pt idx="191">
                  <c:v>44934</c:v>
                </c:pt>
                <c:pt idx="192">
                  <c:v>44935</c:v>
                </c:pt>
                <c:pt idx="193">
                  <c:v>44936</c:v>
                </c:pt>
                <c:pt idx="194">
                  <c:v>44937</c:v>
                </c:pt>
                <c:pt idx="195">
                  <c:v>44938</c:v>
                </c:pt>
                <c:pt idx="196">
                  <c:v>44939</c:v>
                </c:pt>
                <c:pt idx="197">
                  <c:v>44940</c:v>
                </c:pt>
                <c:pt idx="198">
                  <c:v>44941</c:v>
                </c:pt>
                <c:pt idx="199">
                  <c:v>44942</c:v>
                </c:pt>
                <c:pt idx="200">
                  <c:v>44943</c:v>
                </c:pt>
                <c:pt idx="201">
                  <c:v>44944</c:v>
                </c:pt>
                <c:pt idx="202">
                  <c:v>44945</c:v>
                </c:pt>
                <c:pt idx="203">
                  <c:v>44946</c:v>
                </c:pt>
                <c:pt idx="204">
                  <c:v>44947</c:v>
                </c:pt>
                <c:pt idx="205">
                  <c:v>44948</c:v>
                </c:pt>
                <c:pt idx="206">
                  <c:v>44949</c:v>
                </c:pt>
                <c:pt idx="207">
                  <c:v>44950</c:v>
                </c:pt>
                <c:pt idx="208">
                  <c:v>44951</c:v>
                </c:pt>
                <c:pt idx="209">
                  <c:v>44952</c:v>
                </c:pt>
                <c:pt idx="210">
                  <c:v>44953</c:v>
                </c:pt>
                <c:pt idx="211">
                  <c:v>44954</c:v>
                </c:pt>
                <c:pt idx="212">
                  <c:v>44955</c:v>
                </c:pt>
                <c:pt idx="213">
                  <c:v>44956</c:v>
                </c:pt>
                <c:pt idx="214">
                  <c:v>44957</c:v>
                </c:pt>
                <c:pt idx="215">
                  <c:v>44958</c:v>
                </c:pt>
                <c:pt idx="216">
                  <c:v>44959</c:v>
                </c:pt>
                <c:pt idx="217">
                  <c:v>44960</c:v>
                </c:pt>
                <c:pt idx="218">
                  <c:v>44961</c:v>
                </c:pt>
                <c:pt idx="219">
                  <c:v>44962</c:v>
                </c:pt>
                <c:pt idx="220">
                  <c:v>44963</c:v>
                </c:pt>
                <c:pt idx="221">
                  <c:v>44964</c:v>
                </c:pt>
                <c:pt idx="222">
                  <c:v>44965</c:v>
                </c:pt>
                <c:pt idx="223">
                  <c:v>44966</c:v>
                </c:pt>
                <c:pt idx="224">
                  <c:v>44967</c:v>
                </c:pt>
                <c:pt idx="225">
                  <c:v>44968</c:v>
                </c:pt>
                <c:pt idx="226">
                  <c:v>44969</c:v>
                </c:pt>
                <c:pt idx="227">
                  <c:v>44970</c:v>
                </c:pt>
                <c:pt idx="228">
                  <c:v>44971</c:v>
                </c:pt>
                <c:pt idx="229">
                  <c:v>44972</c:v>
                </c:pt>
                <c:pt idx="230">
                  <c:v>44973</c:v>
                </c:pt>
                <c:pt idx="231">
                  <c:v>44974</c:v>
                </c:pt>
                <c:pt idx="232">
                  <c:v>44975</c:v>
                </c:pt>
                <c:pt idx="233">
                  <c:v>44976</c:v>
                </c:pt>
                <c:pt idx="234">
                  <c:v>44977</c:v>
                </c:pt>
                <c:pt idx="235">
                  <c:v>44978</c:v>
                </c:pt>
                <c:pt idx="236">
                  <c:v>44979</c:v>
                </c:pt>
                <c:pt idx="237">
                  <c:v>44980</c:v>
                </c:pt>
                <c:pt idx="238">
                  <c:v>44981</c:v>
                </c:pt>
                <c:pt idx="239">
                  <c:v>44982</c:v>
                </c:pt>
                <c:pt idx="240">
                  <c:v>44983</c:v>
                </c:pt>
                <c:pt idx="241">
                  <c:v>44984</c:v>
                </c:pt>
                <c:pt idx="242">
                  <c:v>44985</c:v>
                </c:pt>
                <c:pt idx="243">
                  <c:v>44986</c:v>
                </c:pt>
                <c:pt idx="244">
                  <c:v>44987</c:v>
                </c:pt>
                <c:pt idx="245">
                  <c:v>44988</c:v>
                </c:pt>
                <c:pt idx="246">
                  <c:v>44989</c:v>
                </c:pt>
                <c:pt idx="247">
                  <c:v>44990</c:v>
                </c:pt>
                <c:pt idx="248">
                  <c:v>44991</c:v>
                </c:pt>
                <c:pt idx="249">
                  <c:v>44992</c:v>
                </c:pt>
                <c:pt idx="250">
                  <c:v>44993</c:v>
                </c:pt>
                <c:pt idx="251">
                  <c:v>44994</c:v>
                </c:pt>
                <c:pt idx="252">
                  <c:v>44995</c:v>
                </c:pt>
                <c:pt idx="253">
                  <c:v>44996</c:v>
                </c:pt>
                <c:pt idx="254">
                  <c:v>44997</c:v>
                </c:pt>
                <c:pt idx="255">
                  <c:v>44998</c:v>
                </c:pt>
                <c:pt idx="256">
                  <c:v>44999</c:v>
                </c:pt>
                <c:pt idx="257">
                  <c:v>45000</c:v>
                </c:pt>
                <c:pt idx="258">
                  <c:v>45001</c:v>
                </c:pt>
                <c:pt idx="259">
                  <c:v>45002</c:v>
                </c:pt>
                <c:pt idx="260">
                  <c:v>45003</c:v>
                </c:pt>
                <c:pt idx="261">
                  <c:v>45004</c:v>
                </c:pt>
                <c:pt idx="262">
                  <c:v>45005</c:v>
                </c:pt>
                <c:pt idx="263">
                  <c:v>45006</c:v>
                </c:pt>
                <c:pt idx="264">
                  <c:v>45007</c:v>
                </c:pt>
                <c:pt idx="265">
                  <c:v>45008</c:v>
                </c:pt>
                <c:pt idx="266">
                  <c:v>45009</c:v>
                </c:pt>
                <c:pt idx="267">
                  <c:v>45010</c:v>
                </c:pt>
                <c:pt idx="268">
                  <c:v>45011</c:v>
                </c:pt>
                <c:pt idx="269">
                  <c:v>45012</c:v>
                </c:pt>
                <c:pt idx="270">
                  <c:v>45013</c:v>
                </c:pt>
                <c:pt idx="271">
                  <c:v>45014</c:v>
                </c:pt>
                <c:pt idx="272">
                  <c:v>45015</c:v>
                </c:pt>
              </c:numCache>
            </c:numRef>
          </c:cat>
          <c:val>
            <c:numRef>
              <c:f>Визуализация!$D$2:$D$274</c:f>
              <c:numCache>
                <c:formatCode>General</c:formatCode>
                <c:ptCount val="273"/>
                <c:pt idx="0">
                  <c:v>7</c:v>
                </c:pt>
                <c:pt idx="1">
                  <c:v>7</c:v>
                </c:pt>
                <c:pt idx="2">
                  <c:v>6</c:v>
                </c:pt>
                <c:pt idx="3">
                  <c:v>14</c:v>
                </c:pt>
                <c:pt idx="4">
                  <c:v>8</c:v>
                </c:pt>
                <c:pt idx="5">
                  <c:v>8</c:v>
                </c:pt>
                <c:pt idx="6">
                  <c:v>10</c:v>
                </c:pt>
                <c:pt idx="7">
                  <c:v>14</c:v>
                </c:pt>
                <c:pt idx="8">
                  <c:v>6</c:v>
                </c:pt>
                <c:pt idx="9">
                  <c:v>7</c:v>
                </c:pt>
                <c:pt idx="10">
                  <c:v>5</c:v>
                </c:pt>
                <c:pt idx="11">
                  <c:v>7</c:v>
                </c:pt>
                <c:pt idx="12">
                  <c:v>5</c:v>
                </c:pt>
                <c:pt idx="13">
                  <c:v>7</c:v>
                </c:pt>
                <c:pt idx="14">
                  <c:v>6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6</c:v>
                </c:pt>
                <c:pt idx="20">
                  <c:v>8</c:v>
                </c:pt>
                <c:pt idx="21">
                  <c:v>10</c:v>
                </c:pt>
                <c:pt idx="22">
                  <c:v>11</c:v>
                </c:pt>
                <c:pt idx="23">
                  <c:v>8</c:v>
                </c:pt>
                <c:pt idx="24">
                  <c:v>12</c:v>
                </c:pt>
                <c:pt idx="25">
                  <c:v>5</c:v>
                </c:pt>
                <c:pt idx="26">
                  <c:v>8</c:v>
                </c:pt>
                <c:pt idx="27">
                  <c:v>12</c:v>
                </c:pt>
                <c:pt idx="28">
                  <c:v>3</c:v>
                </c:pt>
                <c:pt idx="29">
                  <c:v>10</c:v>
                </c:pt>
                <c:pt idx="30">
                  <c:v>12</c:v>
                </c:pt>
                <c:pt idx="31">
                  <c:v>6</c:v>
                </c:pt>
                <c:pt idx="32">
                  <c:v>8</c:v>
                </c:pt>
                <c:pt idx="33">
                  <c:v>4</c:v>
                </c:pt>
                <c:pt idx="34">
                  <c:v>9</c:v>
                </c:pt>
                <c:pt idx="35">
                  <c:v>10</c:v>
                </c:pt>
                <c:pt idx="36">
                  <c:v>4</c:v>
                </c:pt>
                <c:pt idx="37">
                  <c:v>4</c:v>
                </c:pt>
                <c:pt idx="38">
                  <c:v>14</c:v>
                </c:pt>
                <c:pt idx="39">
                  <c:v>7</c:v>
                </c:pt>
                <c:pt idx="40">
                  <c:v>8</c:v>
                </c:pt>
                <c:pt idx="41">
                  <c:v>9</c:v>
                </c:pt>
                <c:pt idx="42">
                  <c:v>10</c:v>
                </c:pt>
                <c:pt idx="43">
                  <c:v>9</c:v>
                </c:pt>
                <c:pt idx="44">
                  <c:v>8</c:v>
                </c:pt>
                <c:pt idx="45">
                  <c:v>6</c:v>
                </c:pt>
                <c:pt idx="46">
                  <c:v>12</c:v>
                </c:pt>
                <c:pt idx="47">
                  <c:v>4</c:v>
                </c:pt>
                <c:pt idx="48">
                  <c:v>5</c:v>
                </c:pt>
                <c:pt idx="49">
                  <c:v>9</c:v>
                </c:pt>
                <c:pt idx="50">
                  <c:v>12</c:v>
                </c:pt>
                <c:pt idx="51">
                  <c:v>7</c:v>
                </c:pt>
                <c:pt idx="52">
                  <c:v>7</c:v>
                </c:pt>
                <c:pt idx="53">
                  <c:v>15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5</c:v>
                </c:pt>
                <c:pt idx="58">
                  <c:v>6</c:v>
                </c:pt>
                <c:pt idx="59">
                  <c:v>7</c:v>
                </c:pt>
                <c:pt idx="60">
                  <c:v>7</c:v>
                </c:pt>
                <c:pt idx="61">
                  <c:v>5</c:v>
                </c:pt>
                <c:pt idx="62">
                  <c:v>9</c:v>
                </c:pt>
                <c:pt idx="63">
                  <c:v>9</c:v>
                </c:pt>
                <c:pt idx="64">
                  <c:v>8</c:v>
                </c:pt>
                <c:pt idx="65">
                  <c:v>9</c:v>
                </c:pt>
                <c:pt idx="66">
                  <c:v>14</c:v>
                </c:pt>
                <c:pt idx="67">
                  <c:v>6</c:v>
                </c:pt>
                <c:pt idx="68">
                  <c:v>9</c:v>
                </c:pt>
                <c:pt idx="69">
                  <c:v>7</c:v>
                </c:pt>
                <c:pt idx="70">
                  <c:v>6</c:v>
                </c:pt>
                <c:pt idx="71">
                  <c:v>10</c:v>
                </c:pt>
                <c:pt idx="72">
                  <c:v>5</c:v>
                </c:pt>
                <c:pt idx="73">
                  <c:v>8</c:v>
                </c:pt>
                <c:pt idx="74">
                  <c:v>9</c:v>
                </c:pt>
                <c:pt idx="75">
                  <c:v>10</c:v>
                </c:pt>
                <c:pt idx="76">
                  <c:v>13</c:v>
                </c:pt>
                <c:pt idx="77">
                  <c:v>16</c:v>
                </c:pt>
                <c:pt idx="78">
                  <c:v>10</c:v>
                </c:pt>
                <c:pt idx="79">
                  <c:v>8</c:v>
                </c:pt>
                <c:pt idx="80">
                  <c:v>7</c:v>
                </c:pt>
                <c:pt idx="81">
                  <c:v>4</c:v>
                </c:pt>
                <c:pt idx="82">
                  <c:v>9</c:v>
                </c:pt>
                <c:pt idx="83">
                  <c:v>9</c:v>
                </c:pt>
                <c:pt idx="84">
                  <c:v>7</c:v>
                </c:pt>
                <c:pt idx="85">
                  <c:v>11</c:v>
                </c:pt>
                <c:pt idx="86">
                  <c:v>6</c:v>
                </c:pt>
                <c:pt idx="87">
                  <c:v>7</c:v>
                </c:pt>
                <c:pt idx="88">
                  <c:v>8</c:v>
                </c:pt>
                <c:pt idx="89">
                  <c:v>6</c:v>
                </c:pt>
                <c:pt idx="90">
                  <c:v>11</c:v>
                </c:pt>
                <c:pt idx="91">
                  <c:v>6</c:v>
                </c:pt>
                <c:pt idx="92">
                  <c:v>18</c:v>
                </c:pt>
                <c:pt idx="93">
                  <c:v>5</c:v>
                </c:pt>
                <c:pt idx="94">
                  <c:v>9</c:v>
                </c:pt>
                <c:pt idx="95">
                  <c:v>6</c:v>
                </c:pt>
                <c:pt idx="96">
                  <c:v>5</c:v>
                </c:pt>
                <c:pt idx="97">
                  <c:v>9</c:v>
                </c:pt>
                <c:pt idx="98">
                  <c:v>7</c:v>
                </c:pt>
                <c:pt idx="99">
                  <c:v>4</c:v>
                </c:pt>
                <c:pt idx="100">
                  <c:v>4</c:v>
                </c:pt>
                <c:pt idx="101">
                  <c:v>7</c:v>
                </c:pt>
                <c:pt idx="102">
                  <c:v>7</c:v>
                </c:pt>
                <c:pt idx="103">
                  <c:v>14</c:v>
                </c:pt>
                <c:pt idx="104">
                  <c:v>11</c:v>
                </c:pt>
                <c:pt idx="105">
                  <c:v>8</c:v>
                </c:pt>
                <c:pt idx="106">
                  <c:v>6</c:v>
                </c:pt>
                <c:pt idx="107">
                  <c:v>11</c:v>
                </c:pt>
                <c:pt idx="108">
                  <c:v>8</c:v>
                </c:pt>
                <c:pt idx="109">
                  <c:v>10</c:v>
                </c:pt>
                <c:pt idx="110">
                  <c:v>8</c:v>
                </c:pt>
                <c:pt idx="111">
                  <c:v>13</c:v>
                </c:pt>
                <c:pt idx="112">
                  <c:v>8</c:v>
                </c:pt>
                <c:pt idx="113">
                  <c:v>3</c:v>
                </c:pt>
                <c:pt idx="114">
                  <c:v>7</c:v>
                </c:pt>
                <c:pt idx="115">
                  <c:v>11</c:v>
                </c:pt>
                <c:pt idx="116">
                  <c:v>11</c:v>
                </c:pt>
                <c:pt idx="117">
                  <c:v>6</c:v>
                </c:pt>
                <c:pt idx="118">
                  <c:v>11</c:v>
                </c:pt>
                <c:pt idx="119">
                  <c:v>13</c:v>
                </c:pt>
                <c:pt idx="120">
                  <c:v>7</c:v>
                </c:pt>
                <c:pt idx="121">
                  <c:v>7</c:v>
                </c:pt>
                <c:pt idx="122">
                  <c:v>9</c:v>
                </c:pt>
                <c:pt idx="123">
                  <c:v>7</c:v>
                </c:pt>
                <c:pt idx="124">
                  <c:v>6</c:v>
                </c:pt>
                <c:pt idx="125">
                  <c:v>9</c:v>
                </c:pt>
                <c:pt idx="126">
                  <c:v>9</c:v>
                </c:pt>
                <c:pt idx="127">
                  <c:v>6</c:v>
                </c:pt>
                <c:pt idx="128">
                  <c:v>13</c:v>
                </c:pt>
                <c:pt idx="129">
                  <c:v>13</c:v>
                </c:pt>
                <c:pt idx="130">
                  <c:v>7</c:v>
                </c:pt>
                <c:pt idx="131">
                  <c:v>7</c:v>
                </c:pt>
                <c:pt idx="132">
                  <c:v>8</c:v>
                </c:pt>
                <c:pt idx="133">
                  <c:v>13</c:v>
                </c:pt>
                <c:pt idx="134">
                  <c:v>10</c:v>
                </c:pt>
                <c:pt idx="135">
                  <c:v>11</c:v>
                </c:pt>
                <c:pt idx="136">
                  <c:v>10</c:v>
                </c:pt>
                <c:pt idx="137">
                  <c:v>9</c:v>
                </c:pt>
                <c:pt idx="138">
                  <c:v>10</c:v>
                </c:pt>
                <c:pt idx="139">
                  <c:v>6</c:v>
                </c:pt>
                <c:pt idx="140">
                  <c:v>12</c:v>
                </c:pt>
                <c:pt idx="141">
                  <c:v>4</c:v>
                </c:pt>
                <c:pt idx="142">
                  <c:v>9</c:v>
                </c:pt>
                <c:pt idx="143">
                  <c:v>6</c:v>
                </c:pt>
                <c:pt idx="144">
                  <c:v>9</c:v>
                </c:pt>
                <c:pt idx="145">
                  <c:v>4</c:v>
                </c:pt>
                <c:pt idx="146">
                  <c:v>9</c:v>
                </c:pt>
                <c:pt idx="147">
                  <c:v>7</c:v>
                </c:pt>
                <c:pt idx="148">
                  <c:v>10</c:v>
                </c:pt>
                <c:pt idx="149">
                  <c:v>8</c:v>
                </c:pt>
                <c:pt idx="150">
                  <c:v>3</c:v>
                </c:pt>
                <c:pt idx="151">
                  <c:v>13</c:v>
                </c:pt>
                <c:pt idx="152">
                  <c:v>7</c:v>
                </c:pt>
                <c:pt idx="153">
                  <c:v>13</c:v>
                </c:pt>
                <c:pt idx="154">
                  <c:v>7</c:v>
                </c:pt>
                <c:pt idx="155">
                  <c:v>13</c:v>
                </c:pt>
                <c:pt idx="156">
                  <c:v>7</c:v>
                </c:pt>
                <c:pt idx="157">
                  <c:v>6</c:v>
                </c:pt>
                <c:pt idx="158">
                  <c:v>4</c:v>
                </c:pt>
                <c:pt idx="159">
                  <c:v>9</c:v>
                </c:pt>
                <c:pt idx="160">
                  <c:v>7</c:v>
                </c:pt>
                <c:pt idx="161">
                  <c:v>10</c:v>
                </c:pt>
                <c:pt idx="162">
                  <c:v>14</c:v>
                </c:pt>
                <c:pt idx="163">
                  <c:v>6</c:v>
                </c:pt>
                <c:pt idx="164">
                  <c:v>4</c:v>
                </c:pt>
                <c:pt idx="165">
                  <c:v>4</c:v>
                </c:pt>
                <c:pt idx="166">
                  <c:v>4</c:v>
                </c:pt>
                <c:pt idx="167">
                  <c:v>6</c:v>
                </c:pt>
                <c:pt idx="168">
                  <c:v>6</c:v>
                </c:pt>
                <c:pt idx="169">
                  <c:v>6</c:v>
                </c:pt>
                <c:pt idx="170">
                  <c:v>9</c:v>
                </c:pt>
                <c:pt idx="171">
                  <c:v>9</c:v>
                </c:pt>
                <c:pt idx="172">
                  <c:v>10</c:v>
                </c:pt>
                <c:pt idx="173">
                  <c:v>6</c:v>
                </c:pt>
                <c:pt idx="174">
                  <c:v>6</c:v>
                </c:pt>
                <c:pt idx="175">
                  <c:v>7</c:v>
                </c:pt>
                <c:pt idx="176">
                  <c:v>11</c:v>
                </c:pt>
                <c:pt idx="177">
                  <c:v>9</c:v>
                </c:pt>
                <c:pt idx="178">
                  <c:v>11</c:v>
                </c:pt>
                <c:pt idx="179">
                  <c:v>11</c:v>
                </c:pt>
                <c:pt idx="180">
                  <c:v>9</c:v>
                </c:pt>
                <c:pt idx="181">
                  <c:v>10</c:v>
                </c:pt>
                <c:pt idx="182">
                  <c:v>5</c:v>
                </c:pt>
                <c:pt idx="183">
                  <c:v>16</c:v>
                </c:pt>
                <c:pt idx="184">
                  <c:v>13</c:v>
                </c:pt>
                <c:pt idx="185">
                  <c:v>19</c:v>
                </c:pt>
                <c:pt idx="186">
                  <c:v>17</c:v>
                </c:pt>
                <c:pt idx="187">
                  <c:v>11</c:v>
                </c:pt>
                <c:pt idx="188">
                  <c:v>18</c:v>
                </c:pt>
                <c:pt idx="189">
                  <c:v>15</c:v>
                </c:pt>
                <c:pt idx="190">
                  <c:v>15</c:v>
                </c:pt>
                <c:pt idx="191">
                  <c:v>12</c:v>
                </c:pt>
                <c:pt idx="192">
                  <c:v>15</c:v>
                </c:pt>
                <c:pt idx="193">
                  <c:v>15</c:v>
                </c:pt>
                <c:pt idx="194">
                  <c:v>17</c:v>
                </c:pt>
                <c:pt idx="195">
                  <c:v>17</c:v>
                </c:pt>
                <c:pt idx="196">
                  <c:v>11</c:v>
                </c:pt>
                <c:pt idx="197">
                  <c:v>8</c:v>
                </c:pt>
                <c:pt idx="198">
                  <c:v>11</c:v>
                </c:pt>
                <c:pt idx="199">
                  <c:v>13</c:v>
                </c:pt>
                <c:pt idx="200">
                  <c:v>14</c:v>
                </c:pt>
                <c:pt idx="201">
                  <c:v>12</c:v>
                </c:pt>
                <c:pt idx="202">
                  <c:v>11</c:v>
                </c:pt>
                <c:pt idx="203">
                  <c:v>12</c:v>
                </c:pt>
                <c:pt idx="204">
                  <c:v>6</c:v>
                </c:pt>
                <c:pt idx="205">
                  <c:v>9</c:v>
                </c:pt>
                <c:pt idx="206">
                  <c:v>14</c:v>
                </c:pt>
                <c:pt idx="207">
                  <c:v>18</c:v>
                </c:pt>
                <c:pt idx="208">
                  <c:v>13</c:v>
                </c:pt>
                <c:pt idx="209">
                  <c:v>13</c:v>
                </c:pt>
                <c:pt idx="210">
                  <c:v>14</c:v>
                </c:pt>
                <c:pt idx="211">
                  <c:v>11</c:v>
                </c:pt>
                <c:pt idx="212">
                  <c:v>12</c:v>
                </c:pt>
                <c:pt idx="213">
                  <c:v>16</c:v>
                </c:pt>
                <c:pt idx="214">
                  <c:v>13</c:v>
                </c:pt>
                <c:pt idx="215">
                  <c:v>16</c:v>
                </c:pt>
                <c:pt idx="216">
                  <c:v>15</c:v>
                </c:pt>
                <c:pt idx="217">
                  <c:v>12</c:v>
                </c:pt>
                <c:pt idx="218">
                  <c:v>11</c:v>
                </c:pt>
                <c:pt idx="219">
                  <c:v>8</c:v>
                </c:pt>
                <c:pt idx="220">
                  <c:v>11</c:v>
                </c:pt>
                <c:pt idx="221">
                  <c:v>17</c:v>
                </c:pt>
                <c:pt idx="222">
                  <c:v>15</c:v>
                </c:pt>
                <c:pt idx="223">
                  <c:v>12</c:v>
                </c:pt>
                <c:pt idx="224">
                  <c:v>10</c:v>
                </c:pt>
                <c:pt idx="225">
                  <c:v>15</c:v>
                </c:pt>
                <c:pt idx="226">
                  <c:v>6</c:v>
                </c:pt>
                <c:pt idx="227">
                  <c:v>14</c:v>
                </c:pt>
                <c:pt idx="228">
                  <c:v>10</c:v>
                </c:pt>
                <c:pt idx="229">
                  <c:v>12</c:v>
                </c:pt>
                <c:pt idx="230">
                  <c:v>15</c:v>
                </c:pt>
                <c:pt idx="231">
                  <c:v>11</c:v>
                </c:pt>
                <c:pt idx="232">
                  <c:v>10</c:v>
                </c:pt>
                <c:pt idx="233">
                  <c:v>14</c:v>
                </c:pt>
                <c:pt idx="234">
                  <c:v>39</c:v>
                </c:pt>
                <c:pt idx="235">
                  <c:v>23</c:v>
                </c:pt>
                <c:pt idx="236">
                  <c:v>21</c:v>
                </c:pt>
                <c:pt idx="237">
                  <c:v>19</c:v>
                </c:pt>
                <c:pt idx="238">
                  <c:v>23</c:v>
                </c:pt>
                <c:pt idx="239">
                  <c:v>21</c:v>
                </c:pt>
                <c:pt idx="240">
                  <c:v>29</c:v>
                </c:pt>
                <c:pt idx="241">
                  <c:v>24</c:v>
                </c:pt>
                <c:pt idx="242">
                  <c:v>25</c:v>
                </c:pt>
                <c:pt idx="243">
                  <c:v>26</c:v>
                </c:pt>
                <c:pt idx="244">
                  <c:v>27</c:v>
                </c:pt>
                <c:pt idx="245">
                  <c:v>18</c:v>
                </c:pt>
                <c:pt idx="246">
                  <c:v>25</c:v>
                </c:pt>
                <c:pt idx="247">
                  <c:v>27</c:v>
                </c:pt>
                <c:pt idx="248">
                  <c:v>17</c:v>
                </c:pt>
                <c:pt idx="249">
                  <c:v>25</c:v>
                </c:pt>
                <c:pt idx="250">
                  <c:v>23</c:v>
                </c:pt>
                <c:pt idx="251">
                  <c:v>25</c:v>
                </c:pt>
                <c:pt idx="252">
                  <c:v>21</c:v>
                </c:pt>
                <c:pt idx="253">
                  <c:v>29</c:v>
                </c:pt>
                <c:pt idx="254">
                  <c:v>25</c:v>
                </c:pt>
                <c:pt idx="255">
                  <c:v>18</c:v>
                </c:pt>
                <c:pt idx="256">
                  <c:v>30</c:v>
                </c:pt>
                <c:pt idx="257">
                  <c:v>26</c:v>
                </c:pt>
                <c:pt idx="258">
                  <c:v>20</c:v>
                </c:pt>
                <c:pt idx="259">
                  <c:v>22</c:v>
                </c:pt>
                <c:pt idx="260">
                  <c:v>22</c:v>
                </c:pt>
                <c:pt idx="261">
                  <c:v>26</c:v>
                </c:pt>
                <c:pt idx="262">
                  <c:v>17</c:v>
                </c:pt>
                <c:pt idx="263">
                  <c:v>23</c:v>
                </c:pt>
                <c:pt idx="264">
                  <c:v>27</c:v>
                </c:pt>
                <c:pt idx="265">
                  <c:v>18</c:v>
                </c:pt>
                <c:pt idx="266">
                  <c:v>15</c:v>
                </c:pt>
                <c:pt idx="267">
                  <c:v>28</c:v>
                </c:pt>
                <c:pt idx="268">
                  <c:v>17</c:v>
                </c:pt>
                <c:pt idx="269">
                  <c:v>28</c:v>
                </c:pt>
                <c:pt idx="270">
                  <c:v>16</c:v>
                </c:pt>
                <c:pt idx="271">
                  <c:v>20</c:v>
                </c:pt>
                <c:pt idx="272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E9-433D-8CAC-60AC71B7A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2525119"/>
        <c:axId val="372532191"/>
      </c:lineChart>
      <c:dateAx>
        <c:axId val="37254009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2540927"/>
        <c:crosses val="autoZero"/>
        <c:auto val="0"/>
        <c:lblOffset val="100"/>
        <c:baseTimeUnit val="days"/>
      </c:dateAx>
      <c:valAx>
        <c:axId val="37254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2540095"/>
        <c:crosses val="autoZero"/>
        <c:crossBetween val="between"/>
        <c:majorUnit val="100"/>
      </c:valAx>
      <c:valAx>
        <c:axId val="37253219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2525119"/>
        <c:crosses val="max"/>
        <c:crossBetween val="between"/>
        <c:majorUnit val="20"/>
      </c:valAx>
      <c:dateAx>
        <c:axId val="37252511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72532191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1" baseline="0">
                <a:effectLst/>
              </a:rPr>
              <a:t>Динамика </a:t>
            </a:r>
            <a:r>
              <a:rPr lang="en-US" sz="1800" b="1" i="1" baseline="0">
                <a:effectLst/>
              </a:rPr>
              <a:t>Sticky Factor Weekly </a:t>
            </a:r>
            <a:r>
              <a:rPr lang="ru-RU" sz="1800" b="1" i="1" baseline="0">
                <a:effectLst/>
              </a:rPr>
              <a:t>и </a:t>
            </a:r>
            <a:r>
              <a:rPr lang="en-US" sz="1800" b="1" i="1" baseline="0">
                <a:effectLst/>
              </a:rPr>
              <a:t>Sticky Factor Monthly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3.1476000752200806E-2"/>
          <c:y val="9.9118748870661938E-2"/>
          <c:w val="0.97323976833535797"/>
          <c:h val="0.73496568973700782"/>
        </c:manualLayout>
      </c:layout>
      <c:lineChart>
        <c:grouping val="standard"/>
        <c:varyColors val="0"/>
        <c:ser>
          <c:idx val="0"/>
          <c:order val="0"/>
          <c:tx>
            <c:strRef>
              <c:f>Визуализация!$G$1</c:f>
              <c:strCache>
                <c:ptCount val="1"/>
                <c:pt idx="0">
                  <c:v>SF (week)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Визуализация!$C$5:$C$270</c:f>
              <c:numCache>
                <c:formatCode>m/d/yyyy</c:formatCode>
                <c:ptCount val="266"/>
                <c:pt idx="0">
                  <c:v>44746</c:v>
                </c:pt>
                <c:pt idx="1">
                  <c:v>44747</c:v>
                </c:pt>
                <c:pt idx="2">
                  <c:v>44748</c:v>
                </c:pt>
                <c:pt idx="3">
                  <c:v>44749</c:v>
                </c:pt>
                <c:pt idx="4">
                  <c:v>44750</c:v>
                </c:pt>
                <c:pt idx="5">
                  <c:v>44751</c:v>
                </c:pt>
                <c:pt idx="6">
                  <c:v>44752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44758</c:v>
                </c:pt>
                <c:pt idx="13">
                  <c:v>44759</c:v>
                </c:pt>
                <c:pt idx="14">
                  <c:v>44760</c:v>
                </c:pt>
                <c:pt idx="15">
                  <c:v>44761</c:v>
                </c:pt>
                <c:pt idx="16">
                  <c:v>44762</c:v>
                </c:pt>
                <c:pt idx="17">
                  <c:v>44763</c:v>
                </c:pt>
                <c:pt idx="18">
                  <c:v>44764</c:v>
                </c:pt>
                <c:pt idx="19">
                  <c:v>44765</c:v>
                </c:pt>
                <c:pt idx="20">
                  <c:v>44766</c:v>
                </c:pt>
                <c:pt idx="21">
                  <c:v>44767</c:v>
                </c:pt>
                <c:pt idx="22">
                  <c:v>44768</c:v>
                </c:pt>
                <c:pt idx="23">
                  <c:v>44769</c:v>
                </c:pt>
                <c:pt idx="24">
                  <c:v>44770</c:v>
                </c:pt>
                <c:pt idx="25">
                  <c:v>44771</c:v>
                </c:pt>
                <c:pt idx="26">
                  <c:v>44772</c:v>
                </c:pt>
                <c:pt idx="27">
                  <c:v>44773</c:v>
                </c:pt>
                <c:pt idx="28">
                  <c:v>44774</c:v>
                </c:pt>
                <c:pt idx="29">
                  <c:v>44775</c:v>
                </c:pt>
                <c:pt idx="30">
                  <c:v>44776</c:v>
                </c:pt>
                <c:pt idx="31">
                  <c:v>44777</c:v>
                </c:pt>
                <c:pt idx="32">
                  <c:v>44778</c:v>
                </c:pt>
                <c:pt idx="33">
                  <c:v>44779</c:v>
                </c:pt>
                <c:pt idx="34">
                  <c:v>44780</c:v>
                </c:pt>
                <c:pt idx="35">
                  <c:v>44781</c:v>
                </c:pt>
                <c:pt idx="36">
                  <c:v>44782</c:v>
                </c:pt>
                <c:pt idx="37">
                  <c:v>44783</c:v>
                </c:pt>
                <c:pt idx="38">
                  <c:v>44784</c:v>
                </c:pt>
                <c:pt idx="39">
                  <c:v>44785</c:v>
                </c:pt>
                <c:pt idx="40">
                  <c:v>44786</c:v>
                </c:pt>
                <c:pt idx="41">
                  <c:v>44787</c:v>
                </c:pt>
                <c:pt idx="42">
                  <c:v>44788</c:v>
                </c:pt>
                <c:pt idx="43">
                  <c:v>44789</c:v>
                </c:pt>
                <c:pt idx="44">
                  <c:v>44790</c:v>
                </c:pt>
                <c:pt idx="45">
                  <c:v>44791</c:v>
                </c:pt>
                <c:pt idx="46">
                  <c:v>44792</c:v>
                </c:pt>
                <c:pt idx="47">
                  <c:v>44793</c:v>
                </c:pt>
                <c:pt idx="48">
                  <c:v>44794</c:v>
                </c:pt>
                <c:pt idx="49">
                  <c:v>44795</c:v>
                </c:pt>
                <c:pt idx="50">
                  <c:v>44796</c:v>
                </c:pt>
                <c:pt idx="51">
                  <c:v>44797</c:v>
                </c:pt>
                <c:pt idx="52">
                  <c:v>44798</c:v>
                </c:pt>
                <c:pt idx="53">
                  <c:v>44799</c:v>
                </c:pt>
                <c:pt idx="54">
                  <c:v>44800</c:v>
                </c:pt>
                <c:pt idx="55">
                  <c:v>44801</c:v>
                </c:pt>
                <c:pt idx="56">
                  <c:v>44802</c:v>
                </c:pt>
                <c:pt idx="57">
                  <c:v>44803</c:v>
                </c:pt>
                <c:pt idx="58">
                  <c:v>44804</c:v>
                </c:pt>
                <c:pt idx="59">
                  <c:v>44805</c:v>
                </c:pt>
                <c:pt idx="60">
                  <c:v>44806</c:v>
                </c:pt>
                <c:pt idx="61">
                  <c:v>44807</c:v>
                </c:pt>
                <c:pt idx="62">
                  <c:v>44808</c:v>
                </c:pt>
                <c:pt idx="63">
                  <c:v>44809</c:v>
                </c:pt>
                <c:pt idx="64">
                  <c:v>44810</c:v>
                </c:pt>
                <c:pt idx="65">
                  <c:v>44811</c:v>
                </c:pt>
                <c:pt idx="66">
                  <c:v>44812</c:v>
                </c:pt>
                <c:pt idx="67">
                  <c:v>44813</c:v>
                </c:pt>
                <c:pt idx="68">
                  <c:v>44814</c:v>
                </c:pt>
                <c:pt idx="69">
                  <c:v>44815</c:v>
                </c:pt>
                <c:pt idx="70">
                  <c:v>44816</c:v>
                </c:pt>
                <c:pt idx="71">
                  <c:v>44817</c:v>
                </c:pt>
                <c:pt idx="72">
                  <c:v>44818</c:v>
                </c:pt>
                <c:pt idx="73">
                  <c:v>44819</c:v>
                </c:pt>
                <c:pt idx="74">
                  <c:v>44820</c:v>
                </c:pt>
                <c:pt idx="75">
                  <c:v>44821</c:v>
                </c:pt>
                <c:pt idx="76">
                  <c:v>44822</c:v>
                </c:pt>
                <c:pt idx="77">
                  <c:v>44823</c:v>
                </c:pt>
                <c:pt idx="78">
                  <c:v>44824</c:v>
                </c:pt>
                <c:pt idx="79">
                  <c:v>44825</c:v>
                </c:pt>
                <c:pt idx="80">
                  <c:v>44826</c:v>
                </c:pt>
                <c:pt idx="81">
                  <c:v>44827</c:v>
                </c:pt>
                <c:pt idx="82">
                  <c:v>44828</c:v>
                </c:pt>
                <c:pt idx="83">
                  <c:v>44829</c:v>
                </c:pt>
                <c:pt idx="84">
                  <c:v>44830</c:v>
                </c:pt>
                <c:pt idx="85">
                  <c:v>44831</c:v>
                </c:pt>
                <c:pt idx="86">
                  <c:v>44832</c:v>
                </c:pt>
                <c:pt idx="87">
                  <c:v>44833</c:v>
                </c:pt>
                <c:pt idx="88">
                  <c:v>44834</c:v>
                </c:pt>
                <c:pt idx="89">
                  <c:v>44835</c:v>
                </c:pt>
                <c:pt idx="90">
                  <c:v>44836</c:v>
                </c:pt>
                <c:pt idx="91">
                  <c:v>44837</c:v>
                </c:pt>
                <c:pt idx="92">
                  <c:v>44838</c:v>
                </c:pt>
                <c:pt idx="93">
                  <c:v>44839</c:v>
                </c:pt>
                <c:pt idx="94">
                  <c:v>44840</c:v>
                </c:pt>
                <c:pt idx="95">
                  <c:v>44841</c:v>
                </c:pt>
                <c:pt idx="96">
                  <c:v>44842</c:v>
                </c:pt>
                <c:pt idx="97">
                  <c:v>44843</c:v>
                </c:pt>
                <c:pt idx="98">
                  <c:v>44844</c:v>
                </c:pt>
                <c:pt idx="99">
                  <c:v>44845</c:v>
                </c:pt>
                <c:pt idx="100">
                  <c:v>44846</c:v>
                </c:pt>
                <c:pt idx="101">
                  <c:v>44847</c:v>
                </c:pt>
                <c:pt idx="102">
                  <c:v>44848</c:v>
                </c:pt>
                <c:pt idx="103">
                  <c:v>44849</c:v>
                </c:pt>
                <c:pt idx="104">
                  <c:v>44850</c:v>
                </c:pt>
                <c:pt idx="105">
                  <c:v>44851</c:v>
                </c:pt>
                <c:pt idx="106">
                  <c:v>44852</c:v>
                </c:pt>
                <c:pt idx="107">
                  <c:v>44853</c:v>
                </c:pt>
                <c:pt idx="108">
                  <c:v>44854</c:v>
                </c:pt>
                <c:pt idx="109">
                  <c:v>44855</c:v>
                </c:pt>
                <c:pt idx="110">
                  <c:v>44856</c:v>
                </c:pt>
                <c:pt idx="111">
                  <c:v>44857</c:v>
                </c:pt>
                <c:pt idx="112">
                  <c:v>44858</c:v>
                </c:pt>
                <c:pt idx="113">
                  <c:v>44859</c:v>
                </c:pt>
                <c:pt idx="114">
                  <c:v>44860</c:v>
                </c:pt>
                <c:pt idx="115">
                  <c:v>44861</c:v>
                </c:pt>
                <c:pt idx="116">
                  <c:v>44862</c:v>
                </c:pt>
                <c:pt idx="117">
                  <c:v>44863</c:v>
                </c:pt>
                <c:pt idx="118">
                  <c:v>44864</c:v>
                </c:pt>
                <c:pt idx="119">
                  <c:v>44865</c:v>
                </c:pt>
                <c:pt idx="120">
                  <c:v>44866</c:v>
                </c:pt>
                <c:pt idx="121">
                  <c:v>44867</c:v>
                </c:pt>
                <c:pt idx="122">
                  <c:v>44868</c:v>
                </c:pt>
                <c:pt idx="123">
                  <c:v>44869</c:v>
                </c:pt>
                <c:pt idx="124">
                  <c:v>44870</c:v>
                </c:pt>
                <c:pt idx="125">
                  <c:v>44871</c:v>
                </c:pt>
                <c:pt idx="126">
                  <c:v>44872</c:v>
                </c:pt>
                <c:pt idx="127">
                  <c:v>44873</c:v>
                </c:pt>
                <c:pt idx="128">
                  <c:v>44874</c:v>
                </c:pt>
                <c:pt idx="129">
                  <c:v>44875</c:v>
                </c:pt>
                <c:pt idx="130">
                  <c:v>44876</c:v>
                </c:pt>
                <c:pt idx="131">
                  <c:v>44877</c:v>
                </c:pt>
                <c:pt idx="132">
                  <c:v>44878</c:v>
                </c:pt>
                <c:pt idx="133">
                  <c:v>44879</c:v>
                </c:pt>
                <c:pt idx="134">
                  <c:v>44880</c:v>
                </c:pt>
                <c:pt idx="135">
                  <c:v>44881</c:v>
                </c:pt>
                <c:pt idx="136">
                  <c:v>44882</c:v>
                </c:pt>
                <c:pt idx="137">
                  <c:v>44883</c:v>
                </c:pt>
                <c:pt idx="138">
                  <c:v>44884</c:v>
                </c:pt>
                <c:pt idx="139">
                  <c:v>44885</c:v>
                </c:pt>
                <c:pt idx="140">
                  <c:v>44886</c:v>
                </c:pt>
                <c:pt idx="141">
                  <c:v>44887</c:v>
                </c:pt>
                <c:pt idx="142">
                  <c:v>44888</c:v>
                </c:pt>
                <c:pt idx="143">
                  <c:v>44889</c:v>
                </c:pt>
                <c:pt idx="144">
                  <c:v>44890</c:v>
                </c:pt>
                <c:pt idx="145">
                  <c:v>44891</c:v>
                </c:pt>
                <c:pt idx="146">
                  <c:v>44892</c:v>
                </c:pt>
                <c:pt idx="147">
                  <c:v>44893</c:v>
                </c:pt>
                <c:pt idx="148">
                  <c:v>44894</c:v>
                </c:pt>
                <c:pt idx="149">
                  <c:v>44895</c:v>
                </c:pt>
                <c:pt idx="150">
                  <c:v>44896</c:v>
                </c:pt>
                <c:pt idx="151">
                  <c:v>44897</c:v>
                </c:pt>
                <c:pt idx="152">
                  <c:v>44898</c:v>
                </c:pt>
                <c:pt idx="153">
                  <c:v>44899</c:v>
                </c:pt>
                <c:pt idx="154">
                  <c:v>44900</c:v>
                </c:pt>
                <c:pt idx="155">
                  <c:v>44901</c:v>
                </c:pt>
                <c:pt idx="156">
                  <c:v>44902</c:v>
                </c:pt>
                <c:pt idx="157">
                  <c:v>44903</c:v>
                </c:pt>
                <c:pt idx="158">
                  <c:v>44904</c:v>
                </c:pt>
                <c:pt idx="159">
                  <c:v>44905</c:v>
                </c:pt>
                <c:pt idx="160">
                  <c:v>44906</c:v>
                </c:pt>
                <c:pt idx="161">
                  <c:v>44907</c:v>
                </c:pt>
                <c:pt idx="162">
                  <c:v>44908</c:v>
                </c:pt>
                <c:pt idx="163">
                  <c:v>44909</c:v>
                </c:pt>
                <c:pt idx="164">
                  <c:v>44910</c:v>
                </c:pt>
                <c:pt idx="165">
                  <c:v>44911</c:v>
                </c:pt>
                <c:pt idx="166">
                  <c:v>44912</c:v>
                </c:pt>
                <c:pt idx="167">
                  <c:v>44913</c:v>
                </c:pt>
                <c:pt idx="168">
                  <c:v>44914</c:v>
                </c:pt>
                <c:pt idx="169">
                  <c:v>44915</c:v>
                </c:pt>
                <c:pt idx="170">
                  <c:v>44916</c:v>
                </c:pt>
                <c:pt idx="171">
                  <c:v>44917</c:v>
                </c:pt>
                <c:pt idx="172">
                  <c:v>44918</c:v>
                </c:pt>
                <c:pt idx="173">
                  <c:v>44919</c:v>
                </c:pt>
                <c:pt idx="174">
                  <c:v>44920</c:v>
                </c:pt>
                <c:pt idx="175">
                  <c:v>44921</c:v>
                </c:pt>
                <c:pt idx="176">
                  <c:v>44922</c:v>
                </c:pt>
                <c:pt idx="177">
                  <c:v>44923</c:v>
                </c:pt>
                <c:pt idx="178">
                  <c:v>44924</c:v>
                </c:pt>
                <c:pt idx="179">
                  <c:v>44925</c:v>
                </c:pt>
                <c:pt idx="180">
                  <c:v>44926</c:v>
                </c:pt>
                <c:pt idx="181">
                  <c:v>44927</c:v>
                </c:pt>
                <c:pt idx="182">
                  <c:v>44928</c:v>
                </c:pt>
                <c:pt idx="183">
                  <c:v>44929</c:v>
                </c:pt>
                <c:pt idx="184">
                  <c:v>44930</c:v>
                </c:pt>
                <c:pt idx="185">
                  <c:v>44931</c:v>
                </c:pt>
                <c:pt idx="186">
                  <c:v>44932</c:v>
                </c:pt>
                <c:pt idx="187">
                  <c:v>44933</c:v>
                </c:pt>
                <c:pt idx="188">
                  <c:v>44934</c:v>
                </c:pt>
                <c:pt idx="189">
                  <c:v>44935</c:v>
                </c:pt>
                <c:pt idx="190">
                  <c:v>44936</c:v>
                </c:pt>
                <c:pt idx="191">
                  <c:v>44937</c:v>
                </c:pt>
                <c:pt idx="192">
                  <c:v>44938</c:v>
                </c:pt>
                <c:pt idx="193">
                  <c:v>44939</c:v>
                </c:pt>
                <c:pt idx="194">
                  <c:v>44940</c:v>
                </c:pt>
                <c:pt idx="195">
                  <c:v>44941</c:v>
                </c:pt>
                <c:pt idx="196">
                  <c:v>44942</c:v>
                </c:pt>
                <c:pt idx="197">
                  <c:v>44943</c:v>
                </c:pt>
                <c:pt idx="198">
                  <c:v>44944</c:v>
                </c:pt>
                <c:pt idx="199">
                  <c:v>44945</c:v>
                </c:pt>
                <c:pt idx="200">
                  <c:v>44946</c:v>
                </c:pt>
                <c:pt idx="201">
                  <c:v>44947</c:v>
                </c:pt>
                <c:pt idx="202">
                  <c:v>44948</c:v>
                </c:pt>
                <c:pt idx="203">
                  <c:v>44949</c:v>
                </c:pt>
                <c:pt idx="204">
                  <c:v>44950</c:v>
                </c:pt>
                <c:pt idx="205">
                  <c:v>44951</c:v>
                </c:pt>
                <c:pt idx="206">
                  <c:v>44952</c:v>
                </c:pt>
                <c:pt idx="207">
                  <c:v>44953</c:v>
                </c:pt>
                <c:pt idx="208">
                  <c:v>44954</c:v>
                </c:pt>
                <c:pt idx="209">
                  <c:v>44955</c:v>
                </c:pt>
                <c:pt idx="210">
                  <c:v>44956</c:v>
                </c:pt>
                <c:pt idx="211">
                  <c:v>44957</c:v>
                </c:pt>
                <c:pt idx="212">
                  <c:v>44958</c:v>
                </c:pt>
                <c:pt idx="213">
                  <c:v>44959</c:v>
                </c:pt>
                <c:pt idx="214">
                  <c:v>44960</c:v>
                </c:pt>
                <c:pt idx="215">
                  <c:v>44961</c:v>
                </c:pt>
                <c:pt idx="216">
                  <c:v>44962</c:v>
                </c:pt>
                <c:pt idx="217">
                  <c:v>44963</c:v>
                </c:pt>
                <c:pt idx="218">
                  <c:v>44964</c:v>
                </c:pt>
                <c:pt idx="219">
                  <c:v>44965</c:v>
                </c:pt>
                <c:pt idx="220">
                  <c:v>44966</c:v>
                </c:pt>
                <c:pt idx="221">
                  <c:v>44967</c:v>
                </c:pt>
                <c:pt idx="222">
                  <c:v>44968</c:v>
                </c:pt>
                <c:pt idx="223">
                  <c:v>44969</c:v>
                </c:pt>
                <c:pt idx="224">
                  <c:v>44970</c:v>
                </c:pt>
                <c:pt idx="225">
                  <c:v>44971</c:v>
                </c:pt>
                <c:pt idx="226">
                  <c:v>44972</c:v>
                </c:pt>
                <c:pt idx="227">
                  <c:v>44973</c:v>
                </c:pt>
                <c:pt idx="228">
                  <c:v>44974</c:v>
                </c:pt>
                <c:pt idx="229">
                  <c:v>44975</c:v>
                </c:pt>
                <c:pt idx="230">
                  <c:v>44976</c:v>
                </c:pt>
                <c:pt idx="231">
                  <c:v>44977</c:v>
                </c:pt>
                <c:pt idx="232">
                  <c:v>44978</c:v>
                </c:pt>
                <c:pt idx="233">
                  <c:v>44979</c:v>
                </c:pt>
                <c:pt idx="234">
                  <c:v>44980</c:v>
                </c:pt>
                <c:pt idx="235">
                  <c:v>44981</c:v>
                </c:pt>
                <c:pt idx="236">
                  <c:v>44982</c:v>
                </c:pt>
                <c:pt idx="237">
                  <c:v>44983</c:v>
                </c:pt>
                <c:pt idx="238">
                  <c:v>44984</c:v>
                </c:pt>
                <c:pt idx="239">
                  <c:v>44985</c:v>
                </c:pt>
                <c:pt idx="240">
                  <c:v>44986</c:v>
                </c:pt>
                <c:pt idx="241">
                  <c:v>44987</c:v>
                </c:pt>
                <c:pt idx="242">
                  <c:v>44988</c:v>
                </c:pt>
                <c:pt idx="243">
                  <c:v>44989</c:v>
                </c:pt>
                <c:pt idx="244">
                  <c:v>44990</c:v>
                </c:pt>
                <c:pt idx="245">
                  <c:v>44991</c:v>
                </c:pt>
                <c:pt idx="246">
                  <c:v>44992</c:v>
                </c:pt>
                <c:pt idx="247">
                  <c:v>44993</c:v>
                </c:pt>
                <c:pt idx="248">
                  <c:v>44994</c:v>
                </c:pt>
                <c:pt idx="249">
                  <c:v>44995</c:v>
                </c:pt>
                <c:pt idx="250">
                  <c:v>44996</c:v>
                </c:pt>
                <c:pt idx="251">
                  <c:v>44997</c:v>
                </c:pt>
                <c:pt idx="252">
                  <c:v>44998</c:v>
                </c:pt>
                <c:pt idx="253">
                  <c:v>44999</c:v>
                </c:pt>
                <c:pt idx="254">
                  <c:v>45000</c:v>
                </c:pt>
                <c:pt idx="255">
                  <c:v>45001</c:v>
                </c:pt>
                <c:pt idx="256">
                  <c:v>45002</c:v>
                </c:pt>
                <c:pt idx="257">
                  <c:v>45003</c:v>
                </c:pt>
                <c:pt idx="258">
                  <c:v>45004</c:v>
                </c:pt>
                <c:pt idx="259">
                  <c:v>45005</c:v>
                </c:pt>
                <c:pt idx="260">
                  <c:v>45006</c:v>
                </c:pt>
                <c:pt idx="261">
                  <c:v>45007</c:v>
                </c:pt>
                <c:pt idx="262">
                  <c:v>45008</c:v>
                </c:pt>
                <c:pt idx="263">
                  <c:v>45009</c:v>
                </c:pt>
                <c:pt idx="264">
                  <c:v>45010</c:v>
                </c:pt>
                <c:pt idx="265">
                  <c:v>45011</c:v>
                </c:pt>
              </c:numCache>
            </c:numRef>
          </c:cat>
          <c:val>
            <c:numRef>
              <c:f>Визуализация!$G$5:$G$270</c:f>
              <c:numCache>
                <c:formatCode>_-* #\ ##0.0000_-;\-* #\ ##0.0000_-;_-* "-"??_-;_-@_-</c:formatCode>
                <c:ptCount val="266"/>
                <c:pt idx="0">
                  <c:v>0.20895522388059701</c:v>
                </c:pt>
                <c:pt idx="1">
                  <c:v>0.11940298507462686</c:v>
                </c:pt>
                <c:pt idx="2">
                  <c:v>0.11940298507462686</c:v>
                </c:pt>
                <c:pt idx="3">
                  <c:v>0.14925373134328357</c:v>
                </c:pt>
                <c:pt idx="4">
                  <c:v>0.20895522388059701</c:v>
                </c:pt>
                <c:pt idx="5">
                  <c:v>8.9552238805970144E-2</c:v>
                </c:pt>
                <c:pt idx="6">
                  <c:v>0.1044776119402985</c:v>
                </c:pt>
                <c:pt idx="7">
                  <c:v>0.10204081632653061</c:v>
                </c:pt>
                <c:pt idx="8">
                  <c:v>0.14285714285714285</c:v>
                </c:pt>
                <c:pt idx="9">
                  <c:v>0.10204081632653061</c:v>
                </c:pt>
                <c:pt idx="10">
                  <c:v>0.14285714285714285</c:v>
                </c:pt>
                <c:pt idx="11">
                  <c:v>0.12244897959183673</c:v>
                </c:pt>
                <c:pt idx="12">
                  <c:v>0.20408163265306123</c:v>
                </c:pt>
                <c:pt idx="13">
                  <c:v>0.18367346938775511</c:v>
                </c:pt>
                <c:pt idx="14">
                  <c:v>0.16393442622950818</c:v>
                </c:pt>
                <c:pt idx="15">
                  <c:v>0.13114754098360656</c:v>
                </c:pt>
                <c:pt idx="16">
                  <c:v>9.8360655737704916E-2</c:v>
                </c:pt>
                <c:pt idx="17">
                  <c:v>0.13114754098360656</c:v>
                </c:pt>
                <c:pt idx="18">
                  <c:v>0.16393442622950818</c:v>
                </c:pt>
                <c:pt idx="19">
                  <c:v>0.18032786885245902</c:v>
                </c:pt>
                <c:pt idx="20">
                  <c:v>0.13114754098360656</c:v>
                </c:pt>
                <c:pt idx="21">
                  <c:v>0.19354838709677419</c:v>
                </c:pt>
                <c:pt idx="22">
                  <c:v>8.0645161290322578E-2</c:v>
                </c:pt>
                <c:pt idx="23">
                  <c:v>0.12903225806451613</c:v>
                </c:pt>
                <c:pt idx="24">
                  <c:v>0.19354838709677419</c:v>
                </c:pt>
                <c:pt idx="25">
                  <c:v>4.8387096774193547E-2</c:v>
                </c:pt>
                <c:pt idx="26">
                  <c:v>0.16129032258064516</c:v>
                </c:pt>
                <c:pt idx="27">
                  <c:v>0.19354838709677419</c:v>
                </c:pt>
                <c:pt idx="28">
                  <c:v>0.13333333333333333</c:v>
                </c:pt>
                <c:pt idx="29">
                  <c:v>0.17777777777777778</c:v>
                </c:pt>
                <c:pt idx="30">
                  <c:v>8.8888888888888892E-2</c:v>
                </c:pt>
                <c:pt idx="31">
                  <c:v>0.2</c:v>
                </c:pt>
                <c:pt idx="32">
                  <c:v>0.22222222222222221</c:v>
                </c:pt>
                <c:pt idx="33">
                  <c:v>8.8888888888888892E-2</c:v>
                </c:pt>
                <c:pt idx="34">
                  <c:v>8.8888888888888892E-2</c:v>
                </c:pt>
                <c:pt idx="35">
                  <c:v>0.2153846153846154</c:v>
                </c:pt>
                <c:pt idx="36">
                  <c:v>0.1076923076923077</c:v>
                </c:pt>
                <c:pt idx="37">
                  <c:v>0.12307692307692308</c:v>
                </c:pt>
                <c:pt idx="38">
                  <c:v>0.13846153846153847</c:v>
                </c:pt>
                <c:pt idx="39">
                  <c:v>0.15384615384615385</c:v>
                </c:pt>
                <c:pt idx="40">
                  <c:v>0.13846153846153847</c:v>
                </c:pt>
                <c:pt idx="41">
                  <c:v>0.12307692307692308</c:v>
                </c:pt>
                <c:pt idx="42">
                  <c:v>0.10909090909090909</c:v>
                </c:pt>
                <c:pt idx="43">
                  <c:v>0.21818181818181817</c:v>
                </c:pt>
                <c:pt idx="44">
                  <c:v>7.2727272727272724E-2</c:v>
                </c:pt>
                <c:pt idx="45">
                  <c:v>9.0909090909090912E-2</c:v>
                </c:pt>
                <c:pt idx="46">
                  <c:v>0.16363636363636364</c:v>
                </c:pt>
                <c:pt idx="47">
                  <c:v>0.21818181818181817</c:v>
                </c:pt>
                <c:pt idx="48">
                  <c:v>0.12727272727272726</c:v>
                </c:pt>
                <c:pt idx="49">
                  <c:v>0.13725490196078433</c:v>
                </c:pt>
                <c:pt idx="50">
                  <c:v>0.29411764705882354</c:v>
                </c:pt>
                <c:pt idx="51">
                  <c:v>0.11764705882352941</c:v>
                </c:pt>
                <c:pt idx="52">
                  <c:v>0.11764705882352941</c:v>
                </c:pt>
                <c:pt idx="53">
                  <c:v>0.11764705882352941</c:v>
                </c:pt>
                <c:pt idx="54">
                  <c:v>9.8039215686274508E-2</c:v>
                </c:pt>
                <c:pt idx="55">
                  <c:v>0.11764705882352941</c:v>
                </c:pt>
                <c:pt idx="56">
                  <c:v>0.12962962962962962</c:v>
                </c:pt>
                <c:pt idx="57">
                  <c:v>0.12962962962962962</c:v>
                </c:pt>
                <c:pt idx="58">
                  <c:v>9.2592592592592587E-2</c:v>
                </c:pt>
                <c:pt idx="59">
                  <c:v>0.16666666666666666</c:v>
                </c:pt>
                <c:pt idx="60">
                  <c:v>0.16666666666666666</c:v>
                </c:pt>
                <c:pt idx="61">
                  <c:v>0.14814814814814814</c:v>
                </c:pt>
                <c:pt idx="62">
                  <c:v>0.16666666666666666</c:v>
                </c:pt>
                <c:pt idx="63">
                  <c:v>0.24561403508771928</c:v>
                </c:pt>
                <c:pt idx="64">
                  <c:v>0.10526315789473684</c:v>
                </c:pt>
                <c:pt idx="65">
                  <c:v>0.15789473684210525</c:v>
                </c:pt>
                <c:pt idx="66">
                  <c:v>0.12280701754385964</c:v>
                </c:pt>
                <c:pt idx="67">
                  <c:v>0.10526315789473684</c:v>
                </c:pt>
                <c:pt idx="68">
                  <c:v>0.17543859649122806</c:v>
                </c:pt>
                <c:pt idx="69">
                  <c:v>8.771929824561403E-2</c:v>
                </c:pt>
                <c:pt idx="70">
                  <c:v>0.10810810810810811</c:v>
                </c:pt>
                <c:pt idx="71">
                  <c:v>0.12162162162162163</c:v>
                </c:pt>
                <c:pt idx="72">
                  <c:v>0.13513513513513514</c:v>
                </c:pt>
                <c:pt idx="73">
                  <c:v>0.17567567567567569</c:v>
                </c:pt>
                <c:pt idx="74">
                  <c:v>0.21621621621621623</c:v>
                </c:pt>
                <c:pt idx="75">
                  <c:v>0.13513513513513514</c:v>
                </c:pt>
                <c:pt idx="76">
                  <c:v>0.10810810810810811</c:v>
                </c:pt>
                <c:pt idx="77">
                  <c:v>0.13207547169811321</c:v>
                </c:pt>
                <c:pt idx="78">
                  <c:v>7.5471698113207544E-2</c:v>
                </c:pt>
                <c:pt idx="79">
                  <c:v>0.16981132075471697</c:v>
                </c:pt>
                <c:pt idx="80">
                  <c:v>0.16981132075471697</c:v>
                </c:pt>
                <c:pt idx="81">
                  <c:v>0.13207547169811321</c:v>
                </c:pt>
                <c:pt idx="82">
                  <c:v>0.20754716981132076</c:v>
                </c:pt>
                <c:pt idx="83">
                  <c:v>0.11320754716981132</c:v>
                </c:pt>
                <c:pt idx="84">
                  <c:v>0.11475409836065574</c:v>
                </c:pt>
                <c:pt idx="85">
                  <c:v>0.13114754098360656</c:v>
                </c:pt>
                <c:pt idx="86">
                  <c:v>9.8360655737704916E-2</c:v>
                </c:pt>
                <c:pt idx="87">
                  <c:v>0.18032786885245902</c:v>
                </c:pt>
                <c:pt idx="88">
                  <c:v>9.8360655737704916E-2</c:v>
                </c:pt>
                <c:pt idx="89">
                  <c:v>0.29508196721311475</c:v>
                </c:pt>
                <c:pt idx="90">
                  <c:v>8.1967213114754092E-2</c:v>
                </c:pt>
                <c:pt idx="91">
                  <c:v>0.20454545454545456</c:v>
                </c:pt>
                <c:pt idx="92">
                  <c:v>0.13636363636363635</c:v>
                </c:pt>
                <c:pt idx="93">
                  <c:v>0.11363636363636363</c:v>
                </c:pt>
                <c:pt idx="94">
                  <c:v>0.20454545454545456</c:v>
                </c:pt>
                <c:pt idx="95">
                  <c:v>0.15909090909090909</c:v>
                </c:pt>
                <c:pt idx="96">
                  <c:v>9.0909090909090912E-2</c:v>
                </c:pt>
                <c:pt idx="97">
                  <c:v>9.0909090909090912E-2</c:v>
                </c:pt>
                <c:pt idx="98">
                  <c:v>0.109375</c:v>
                </c:pt>
                <c:pt idx="99">
                  <c:v>0.109375</c:v>
                </c:pt>
                <c:pt idx="100">
                  <c:v>0.21875</c:v>
                </c:pt>
                <c:pt idx="101">
                  <c:v>0.171875</c:v>
                </c:pt>
                <c:pt idx="102">
                  <c:v>0.125</c:v>
                </c:pt>
                <c:pt idx="103">
                  <c:v>9.375E-2</c:v>
                </c:pt>
                <c:pt idx="104">
                  <c:v>0.171875</c:v>
                </c:pt>
                <c:pt idx="105">
                  <c:v>0.14035087719298245</c:v>
                </c:pt>
                <c:pt idx="106">
                  <c:v>0.17543859649122806</c:v>
                </c:pt>
                <c:pt idx="107">
                  <c:v>0.14035087719298245</c:v>
                </c:pt>
                <c:pt idx="108">
                  <c:v>0.22807017543859648</c:v>
                </c:pt>
                <c:pt idx="109">
                  <c:v>0.14035087719298245</c:v>
                </c:pt>
                <c:pt idx="110">
                  <c:v>5.2631578947368418E-2</c:v>
                </c:pt>
                <c:pt idx="111">
                  <c:v>0.12280701754385964</c:v>
                </c:pt>
                <c:pt idx="112">
                  <c:v>0.16666666666666666</c:v>
                </c:pt>
                <c:pt idx="113">
                  <c:v>0.16666666666666666</c:v>
                </c:pt>
                <c:pt idx="114">
                  <c:v>9.0909090909090912E-2</c:v>
                </c:pt>
                <c:pt idx="115">
                  <c:v>0.16666666666666666</c:v>
                </c:pt>
                <c:pt idx="116">
                  <c:v>0.19696969696969696</c:v>
                </c:pt>
                <c:pt idx="117">
                  <c:v>0.10606060606060606</c:v>
                </c:pt>
                <c:pt idx="118">
                  <c:v>0.10606060606060606</c:v>
                </c:pt>
                <c:pt idx="119">
                  <c:v>0.15254237288135594</c:v>
                </c:pt>
                <c:pt idx="120">
                  <c:v>0.11864406779661017</c:v>
                </c:pt>
                <c:pt idx="121">
                  <c:v>0.10169491525423729</c:v>
                </c:pt>
                <c:pt idx="122">
                  <c:v>0.15254237288135594</c:v>
                </c:pt>
                <c:pt idx="123">
                  <c:v>0.15254237288135594</c:v>
                </c:pt>
                <c:pt idx="124">
                  <c:v>0.10169491525423729</c:v>
                </c:pt>
                <c:pt idx="125">
                  <c:v>0.22033898305084745</c:v>
                </c:pt>
                <c:pt idx="126">
                  <c:v>0.18840579710144928</c:v>
                </c:pt>
                <c:pt idx="127">
                  <c:v>0.10144927536231885</c:v>
                </c:pt>
                <c:pt idx="128">
                  <c:v>0.10144927536231885</c:v>
                </c:pt>
                <c:pt idx="129">
                  <c:v>0.11594202898550725</c:v>
                </c:pt>
                <c:pt idx="130">
                  <c:v>0.18840579710144928</c:v>
                </c:pt>
                <c:pt idx="131">
                  <c:v>0.14492753623188406</c:v>
                </c:pt>
                <c:pt idx="132">
                  <c:v>0.15942028985507245</c:v>
                </c:pt>
                <c:pt idx="133">
                  <c:v>0.16666666666666666</c:v>
                </c:pt>
                <c:pt idx="134">
                  <c:v>0.15</c:v>
                </c:pt>
                <c:pt idx="135">
                  <c:v>0.16666666666666666</c:v>
                </c:pt>
                <c:pt idx="136">
                  <c:v>0.1</c:v>
                </c:pt>
                <c:pt idx="137">
                  <c:v>0.2</c:v>
                </c:pt>
                <c:pt idx="138">
                  <c:v>6.6666666666666666E-2</c:v>
                </c:pt>
                <c:pt idx="139">
                  <c:v>0.15</c:v>
                </c:pt>
                <c:pt idx="140">
                  <c:v>0.11320754716981132</c:v>
                </c:pt>
                <c:pt idx="141">
                  <c:v>0.16981132075471697</c:v>
                </c:pt>
                <c:pt idx="142">
                  <c:v>7.5471698113207544E-2</c:v>
                </c:pt>
                <c:pt idx="143">
                  <c:v>0.16981132075471697</c:v>
                </c:pt>
                <c:pt idx="144">
                  <c:v>0.13207547169811321</c:v>
                </c:pt>
                <c:pt idx="145">
                  <c:v>0.18867924528301888</c:v>
                </c:pt>
                <c:pt idx="146">
                  <c:v>0.15094339622641509</c:v>
                </c:pt>
                <c:pt idx="147">
                  <c:v>4.7619047619047616E-2</c:v>
                </c:pt>
                <c:pt idx="148">
                  <c:v>0.20634920634920634</c:v>
                </c:pt>
                <c:pt idx="149">
                  <c:v>0.1111111111111111</c:v>
                </c:pt>
                <c:pt idx="150">
                  <c:v>0.20634920634920634</c:v>
                </c:pt>
                <c:pt idx="151">
                  <c:v>0.1111111111111111</c:v>
                </c:pt>
                <c:pt idx="152">
                  <c:v>0.20634920634920634</c:v>
                </c:pt>
                <c:pt idx="153">
                  <c:v>0.1111111111111111</c:v>
                </c:pt>
                <c:pt idx="154">
                  <c:v>0.10714285714285714</c:v>
                </c:pt>
                <c:pt idx="155">
                  <c:v>7.1428571428571425E-2</c:v>
                </c:pt>
                <c:pt idx="156">
                  <c:v>0.16071428571428573</c:v>
                </c:pt>
                <c:pt idx="157">
                  <c:v>0.125</c:v>
                </c:pt>
                <c:pt idx="158">
                  <c:v>0.17857142857142858</c:v>
                </c:pt>
                <c:pt idx="159">
                  <c:v>0.25</c:v>
                </c:pt>
                <c:pt idx="160">
                  <c:v>0.10714285714285714</c:v>
                </c:pt>
                <c:pt idx="161">
                  <c:v>0.10256410256410256</c:v>
                </c:pt>
                <c:pt idx="162">
                  <c:v>0.10256410256410256</c:v>
                </c:pt>
                <c:pt idx="163">
                  <c:v>0.10256410256410256</c:v>
                </c:pt>
                <c:pt idx="164">
                  <c:v>0.15384615384615385</c:v>
                </c:pt>
                <c:pt idx="165">
                  <c:v>0.15384615384615385</c:v>
                </c:pt>
                <c:pt idx="166">
                  <c:v>0.15384615384615385</c:v>
                </c:pt>
                <c:pt idx="167">
                  <c:v>0.23076923076923078</c:v>
                </c:pt>
                <c:pt idx="168">
                  <c:v>0.15517241379310345</c:v>
                </c:pt>
                <c:pt idx="169">
                  <c:v>0.17241379310344829</c:v>
                </c:pt>
                <c:pt idx="170">
                  <c:v>0.10344827586206896</c:v>
                </c:pt>
                <c:pt idx="171">
                  <c:v>0.10344827586206896</c:v>
                </c:pt>
                <c:pt idx="172">
                  <c:v>0.1206896551724138</c:v>
                </c:pt>
                <c:pt idx="173">
                  <c:v>0.18965517241379309</c:v>
                </c:pt>
                <c:pt idx="174">
                  <c:v>0.15517241379310345</c:v>
                </c:pt>
                <c:pt idx="175">
                  <c:v>0.14666666666666667</c:v>
                </c:pt>
                <c:pt idx="176">
                  <c:v>0.14666666666666667</c:v>
                </c:pt>
                <c:pt idx="177">
                  <c:v>0.12</c:v>
                </c:pt>
                <c:pt idx="178">
                  <c:v>0.13333333333333333</c:v>
                </c:pt>
                <c:pt idx="179">
                  <c:v>6.6666666666666666E-2</c:v>
                </c:pt>
                <c:pt idx="180">
                  <c:v>0.21333333333333335</c:v>
                </c:pt>
                <c:pt idx="181">
                  <c:v>0.17333333333333334</c:v>
                </c:pt>
                <c:pt idx="182">
                  <c:v>0.17757009345794392</c:v>
                </c:pt>
                <c:pt idx="183">
                  <c:v>0.15887850467289719</c:v>
                </c:pt>
                <c:pt idx="184">
                  <c:v>0.10280373831775701</c:v>
                </c:pt>
                <c:pt idx="185">
                  <c:v>0.16822429906542055</c:v>
                </c:pt>
                <c:pt idx="186">
                  <c:v>0.14018691588785046</c:v>
                </c:pt>
                <c:pt idx="187">
                  <c:v>0.14018691588785046</c:v>
                </c:pt>
                <c:pt idx="188">
                  <c:v>0.11214953271028037</c:v>
                </c:pt>
                <c:pt idx="189">
                  <c:v>0.15957446808510639</c:v>
                </c:pt>
                <c:pt idx="190">
                  <c:v>0.15957446808510639</c:v>
                </c:pt>
                <c:pt idx="191">
                  <c:v>0.18085106382978725</c:v>
                </c:pt>
                <c:pt idx="192">
                  <c:v>0.18085106382978725</c:v>
                </c:pt>
                <c:pt idx="193">
                  <c:v>0.11702127659574468</c:v>
                </c:pt>
                <c:pt idx="194">
                  <c:v>8.5106382978723402E-2</c:v>
                </c:pt>
                <c:pt idx="195">
                  <c:v>0.11702127659574468</c:v>
                </c:pt>
                <c:pt idx="196">
                  <c:v>0.16883116883116883</c:v>
                </c:pt>
                <c:pt idx="197">
                  <c:v>0.18181818181818182</c:v>
                </c:pt>
                <c:pt idx="198">
                  <c:v>0.15584415584415584</c:v>
                </c:pt>
                <c:pt idx="199">
                  <c:v>0.14285714285714285</c:v>
                </c:pt>
                <c:pt idx="200">
                  <c:v>0.15584415584415584</c:v>
                </c:pt>
                <c:pt idx="201">
                  <c:v>7.792207792207792E-2</c:v>
                </c:pt>
                <c:pt idx="202">
                  <c:v>0.11688311688311688</c:v>
                </c:pt>
                <c:pt idx="203">
                  <c:v>0.14736842105263157</c:v>
                </c:pt>
                <c:pt idx="204">
                  <c:v>0.18947368421052632</c:v>
                </c:pt>
                <c:pt idx="205">
                  <c:v>0.1368421052631579</c:v>
                </c:pt>
                <c:pt idx="206">
                  <c:v>0.1368421052631579</c:v>
                </c:pt>
                <c:pt idx="207">
                  <c:v>0.14736842105263157</c:v>
                </c:pt>
                <c:pt idx="208">
                  <c:v>0.11578947368421053</c:v>
                </c:pt>
                <c:pt idx="209">
                  <c:v>0.12631578947368421</c:v>
                </c:pt>
                <c:pt idx="210">
                  <c:v>0.17582417582417584</c:v>
                </c:pt>
                <c:pt idx="211">
                  <c:v>0.14285714285714285</c:v>
                </c:pt>
                <c:pt idx="212">
                  <c:v>0.17582417582417584</c:v>
                </c:pt>
                <c:pt idx="213">
                  <c:v>0.16483516483516483</c:v>
                </c:pt>
                <c:pt idx="214">
                  <c:v>0.13186813186813187</c:v>
                </c:pt>
                <c:pt idx="215">
                  <c:v>0.12087912087912088</c:v>
                </c:pt>
                <c:pt idx="216">
                  <c:v>8.7912087912087919E-2</c:v>
                </c:pt>
                <c:pt idx="217">
                  <c:v>0.12790697674418605</c:v>
                </c:pt>
                <c:pt idx="218">
                  <c:v>0.19767441860465115</c:v>
                </c:pt>
                <c:pt idx="219">
                  <c:v>0.1744186046511628</c:v>
                </c:pt>
                <c:pt idx="220">
                  <c:v>0.13953488372093023</c:v>
                </c:pt>
                <c:pt idx="221">
                  <c:v>0.11627906976744186</c:v>
                </c:pt>
                <c:pt idx="222">
                  <c:v>0.1744186046511628</c:v>
                </c:pt>
                <c:pt idx="223">
                  <c:v>6.9767441860465115E-2</c:v>
                </c:pt>
                <c:pt idx="224">
                  <c:v>0.16279069767441862</c:v>
                </c:pt>
                <c:pt idx="225">
                  <c:v>0.11627906976744186</c:v>
                </c:pt>
                <c:pt idx="226">
                  <c:v>0.13953488372093023</c:v>
                </c:pt>
                <c:pt idx="227">
                  <c:v>0.1744186046511628</c:v>
                </c:pt>
                <c:pt idx="228">
                  <c:v>0.12790697674418605</c:v>
                </c:pt>
                <c:pt idx="229">
                  <c:v>0.11627906976744186</c:v>
                </c:pt>
                <c:pt idx="230">
                  <c:v>0.16279069767441862</c:v>
                </c:pt>
                <c:pt idx="231">
                  <c:v>0.22285714285714286</c:v>
                </c:pt>
                <c:pt idx="232">
                  <c:v>0.13142857142857142</c:v>
                </c:pt>
                <c:pt idx="233">
                  <c:v>0.12</c:v>
                </c:pt>
                <c:pt idx="234">
                  <c:v>0.10857142857142857</c:v>
                </c:pt>
                <c:pt idx="235">
                  <c:v>0.13142857142857142</c:v>
                </c:pt>
                <c:pt idx="236">
                  <c:v>0.12</c:v>
                </c:pt>
                <c:pt idx="237">
                  <c:v>0.1657142857142857</c:v>
                </c:pt>
                <c:pt idx="238">
                  <c:v>0.13953488372093023</c:v>
                </c:pt>
                <c:pt idx="239">
                  <c:v>0.14534883720930233</c:v>
                </c:pt>
                <c:pt idx="240">
                  <c:v>0.15116279069767441</c:v>
                </c:pt>
                <c:pt idx="241">
                  <c:v>0.15697674418604651</c:v>
                </c:pt>
                <c:pt idx="242">
                  <c:v>0.10465116279069768</c:v>
                </c:pt>
                <c:pt idx="243">
                  <c:v>0.14534883720930233</c:v>
                </c:pt>
                <c:pt idx="244">
                  <c:v>0.15697674418604651</c:v>
                </c:pt>
                <c:pt idx="245">
                  <c:v>0.10303030303030303</c:v>
                </c:pt>
                <c:pt idx="246">
                  <c:v>0.15151515151515152</c:v>
                </c:pt>
                <c:pt idx="247">
                  <c:v>0.1393939393939394</c:v>
                </c:pt>
                <c:pt idx="248">
                  <c:v>0.15151515151515152</c:v>
                </c:pt>
                <c:pt idx="249">
                  <c:v>0.12727272727272726</c:v>
                </c:pt>
                <c:pt idx="250">
                  <c:v>0.17575757575757575</c:v>
                </c:pt>
                <c:pt idx="251">
                  <c:v>0.15151515151515152</c:v>
                </c:pt>
                <c:pt idx="252">
                  <c:v>0.10975609756097561</c:v>
                </c:pt>
                <c:pt idx="253">
                  <c:v>0.18292682926829268</c:v>
                </c:pt>
                <c:pt idx="254">
                  <c:v>0.15853658536585366</c:v>
                </c:pt>
                <c:pt idx="255">
                  <c:v>0.12195121951219512</c:v>
                </c:pt>
                <c:pt idx="256">
                  <c:v>0.13414634146341464</c:v>
                </c:pt>
                <c:pt idx="257">
                  <c:v>0.13414634146341464</c:v>
                </c:pt>
                <c:pt idx="258">
                  <c:v>0.15853658536585366</c:v>
                </c:pt>
                <c:pt idx="259">
                  <c:v>0.11724137931034483</c:v>
                </c:pt>
                <c:pt idx="260">
                  <c:v>0.15862068965517243</c:v>
                </c:pt>
                <c:pt idx="261">
                  <c:v>0.18620689655172415</c:v>
                </c:pt>
                <c:pt idx="262">
                  <c:v>0.12413793103448276</c:v>
                </c:pt>
                <c:pt idx="263">
                  <c:v>0.10344827586206896</c:v>
                </c:pt>
                <c:pt idx="264">
                  <c:v>0.19310344827586207</c:v>
                </c:pt>
                <c:pt idx="265">
                  <c:v>0.11724137931034483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63-4C33-9963-47447278FDEB}"/>
            </c:ext>
          </c:extLst>
        </c:ser>
        <c:ser>
          <c:idx val="1"/>
          <c:order val="1"/>
          <c:tx>
            <c:strRef>
              <c:f>Визуализация!$H$1</c:f>
              <c:strCache>
                <c:ptCount val="1"/>
                <c:pt idx="0">
                  <c:v> SF (month)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Визуализация!$C$5:$C$270</c:f>
              <c:numCache>
                <c:formatCode>m/d/yyyy</c:formatCode>
                <c:ptCount val="266"/>
                <c:pt idx="0">
                  <c:v>44746</c:v>
                </c:pt>
                <c:pt idx="1">
                  <c:v>44747</c:v>
                </c:pt>
                <c:pt idx="2">
                  <c:v>44748</c:v>
                </c:pt>
                <c:pt idx="3">
                  <c:v>44749</c:v>
                </c:pt>
                <c:pt idx="4">
                  <c:v>44750</c:v>
                </c:pt>
                <c:pt idx="5">
                  <c:v>44751</c:v>
                </c:pt>
                <c:pt idx="6">
                  <c:v>44752</c:v>
                </c:pt>
                <c:pt idx="7">
                  <c:v>44753</c:v>
                </c:pt>
                <c:pt idx="8">
                  <c:v>44754</c:v>
                </c:pt>
                <c:pt idx="9">
                  <c:v>44755</c:v>
                </c:pt>
                <c:pt idx="10">
                  <c:v>44756</c:v>
                </c:pt>
                <c:pt idx="11">
                  <c:v>44757</c:v>
                </c:pt>
                <c:pt idx="12">
                  <c:v>44758</c:v>
                </c:pt>
                <c:pt idx="13">
                  <c:v>44759</c:v>
                </c:pt>
                <c:pt idx="14">
                  <c:v>44760</c:v>
                </c:pt>
                <c:pt idx="15">
                  <c:v>44761</c:v>
                </c:pt>
                <c:pt idx="16">
                  <c:v>44762</c:v>
                </c:pt>
                <c:pt idx="17">
                  <c:v>44763</c:v>
                </c:pt>
                <c:pt idx="18">
                  <c:v>44764</c:v>
                </c:pt>
                <c:pt idx="19">
                  <c:v>44765</c:v>
                </c:pt>
                <c:pt idx="20">
                  <c:v>44766</c:v>
                </c:pt>
                <c:pt idx="21">
                  <c:v>44767</c:v>
                </c:pt>
                <c:pt idx="22">
                  <c:v>44768</c:v>
                </c:pt>
                <c:pt idx="23">
                  <c:v>44769</c:v>
                </c:pt>
                <c:pt idx="24">
                  <c:v>44770</c:v>
                </c:pt>
                <c:pt idx="25">
                  <c:v>44771</c:v>
                </c:pt>
                <c:pt idx="26">
                  <c:v>44772</c:v>
                </c:pt>
                <c:pt idx="27">
                  <c:v>44773</c:v>
                </c:pt>
                <c:pt idx="28">
                  <c:v>44774</c:v>
                </c:pt>
                <c:pt idx="29">
                  <c:v>44775</c:v>
                </c:pt>
                <c:pt idx="30">
                  <c:v>44776</c:v>
                </c:pt>
                <c:pt idx="31">
                  <c:v>44777</c:v>
                </c:pt>
                <c:pt idx="32">
                  <c:v>44778</c:v>
                </c:pt>
                <c:pt idx="33">
                  <c:v>44779</c:v>
                </c:pt>
                <c:pt idx="34">
                  <c:v>44780</c:v>
                </c:pt>
                <c:pt idx="35">
                  <c:v>44781</c:v>
                </c:pt>
                <c:pt idx="36">
                  <c:v>44782</c:v>
                </c:pt>
                <c:pt idx="37">
                  <c:v>44783</c:v>
                </c:pt>
                <c:pt idx="38">
                  <c:v>44784</c:v>
                </c:pt>
                <c:pt idx="39">
                  <c:v>44785</c:v>
                </c:pt>
                <c:pt idx="40">
                  <c:v>44786</c:v>
                </c:pt>
                <c:pt idx="41">
                  <c:v>44787</c:v>
                </c:pt>
                <c:pt idx="42">
                  <c:v>44788</c:v>
                </c:pt>
                <c:pt idx="43">
                  <c:v>44789</c:v>
                </c:pt>
                <c:pt idx="44">
                  <c:v>44790</c:v>
                </c:pt>
                <c:pt idx="45">
                  <c:v>44791</c:v>
                </c:pt>
                <c:pt idx="46">
                  <c:v>44792</c:v>
                </c:pt>
                <c:pt idx="47">
                  <c:v>44793</c:v>
                </c:pt>
                <c:pt idx="48">
                  <c:v>44794</c:v>
                </c:pt>
                <c:pt idx="49">
                  <c:v>44795</c:v>
                </c:pt>
                <c:pt idx="50">
                  <c:v>44796</c:v>
                </c:pt>
                <c:pt idx="51">
                  <c:v>44797</c:v>
                </c:pt>
                <c:pt idx="52">
                  <c:v>44798</c:v>
                </c:pt>
                <c:pt idx="53">
                  <c:v>44799</c:v>
                </c:pt>
                <c:pt idx="54">
                  <c:v>44800</c:v>
                </c:pt>
                <c:pt idx="55">
                  <c:v>44801</c:v>
                </c:pt>
                <c:pt idx="56">
                  <c:v>44802</c:v>
                </c:pt>
                <c:pt idx="57">
                  <c:v>44803</c:v>
                </c:pt>
                <c:pt idx="58">
                  <c:v>44804</c:v>
                </c:pt>
                <c:pt idx="59">
                  <c:v>44805</c:v>
                </c:pt>
                <c:pt idx="60">
                  <c:v>44806</c:v>
                </c:pt>
                <c:pt idx="61">
                  <c:v>44807</c:v>
                </c:pt>
                <c:pt idx="62">
                  <c:v>44808</c:v>
                </c:pt>
                <c:pt idx="63">
                  <c:v>44809</c:v>
                </c:pt>
                <c:pt idx="64">
                  <c:v>44810</c:v>
                </c:pt>
                <c:pt idx="65">
                  <c:v>44811</c:v>
                </c:pt>
                <c:pt idx="66">
                  <c:v>44812</c:v>
                </c:pt>
                <c:pt idx="67">
                  <c:v>44813</c:v>
                </c:pt>
                <c:pt idx="68">
                  <c:v>44814</c:v>
                </c:pt>
                <c:pt idx="69">
                  <c:v>44815</c:v>
                </c:pt>
                <c:pt idx="70">
                  <c:v>44816</c:v>
                </c:pt>
                <c:pt idx="71">
                  <c:v>44817</c:v>
                </c:pt>
                <c:pt idx="72">
                  <c:v>44818</c:v>
                </c:pt>
                <c:pt idx="73">
                  <c:v>44819</c:v>
                </c:pt>
                <c:pt idx="74">
                  <c:v>44820</c:v>
                </c:pt>
                <c:pt idx="75">
                  <c:v>44821</c:v>
                </c:pt>
                <c:pt idx="76">
                  <c:v>44822</c:v>
                </c:pt>
                <c:pt idx="77">
                  <c:v>44823</c:v>
                </c:pt>
                <c:pt idx="78">
                  <c:v>44824</c:v>
                </c:pt>
                <c:pt idx="79">
                  <c:v>44825</c:v>
                </c:pt>
                <c:pt idx="80">
                  <c:v>44826</c:v>
                </c:pt>
                <c:pt idx="81">
                  <c:v>44827</c:v>
                </c:pt>
                <c:pt idx="82">
                  <c:v>44828</c:v>
                </c:pt>
                <c:pt idx="83">
                  <c:v>44829</c:v>
                </c:pt>
                <c:pt idx="84">
                  <c:v>44830</c:v>
                </c:pt>
                <c:pt idx="85">
                  <c:v>44831</c:v>
                </c:pt>
                <c:pt idx="86">
                  <c:v>44832</c:v>
                </c:pt>
                <c:pt idx="87">
                  <c:v>44833</c:v>
                </c:pt>
                <c:pt idx="88">
                  <c:v>44834</c:v>
                </c:pt>
                <c:pt idx="89">
                  <c:v>44835</c:v>
                </c:pt>
                <c:pt idx="90">
                  <c:v>44836</c:v>
                </c:pt>
                <c:pt idx="91">
                  <c:v>44837</c:v>
                </c:pt>
                <c:pt idx="92">
                  <c:v>44838</c:v>
                </c:pt>
                <c:pt idx="93">
                  <c:v>44839</c:v>
                </c:pt>
                <c:pt idx="94">
                  <c:v>44840</c:v>
                </c:pt>
                <c:pt idx="95">
                  <c:v>44841</c:v>
                </c:pt>
                <c:pt idx="96">
                  <c:v>44842</c:v>
                </c:pt>
                <c:pt idx="97">
                  <c:v>44843</c:v>
                </c:pt>
                <c:pt idx="98">
                  <c:v>44844</c:v>
                </c:pt>
                <c:pt idx="99">
                  <c:v>44845</c:v>
                </c:pt>
                <c:pt idx="100">
                  <c:v>44846</c:v>
                </c:pt>
                <c:pt idx="101">
                  <c:v>44847</c:v>
                </c:pt>
                <c:pt idx="102">
                  <c:v>44848</c:v>
                </c:pt>
                <c:pt idx="103">
                  <c:v>44849</c:v>
                </c:pt>
                <c:pt idx="104">
                  <c:v>44850</c:v>
                </c:pt>
                <c:pt idx="105">
                  <c:v>44851</c:v>
                </c:pt>
                <c:pt idx="106">
                  <c:v>44852</c:v>
                </c:pt>
                <c:pt idx="107">
                  <c:v>44853</c:v>
                </c:pt>
                <c:pt idx="108">
                  <c:v>44854</c:v>
                </c:pt>
                <c:pt idx="109">
                  <c:v>44855</c:v>
                </c:pt>
                <c:pt idx="110">
                  <c:v>44856</c:v>
                </c:pt>
                <c:pt idx="111">
                  <c:v>44857</c:v>
                </c:pt>
                <c:pt idx="112">
                  <c:v>44858</c:v>
                </c:pt>
                <c:pt idx="113">
                  <c:v>44859</c:v>
                </c:pt>
                <c:pt idx="114">
                  <c:v>44860</c:v>
                </c:pt>
                <c:pt idx="115">
                  <c:v>44861</c:v>
                </c:pt>
                <c:pt idx="116">
                  <c:v>44862</c:v>
                </c:pt>
                <c:pt idx="117">
                  <c:v>44863</c:v>
                </c:pt>
                <c:pt idx="118">
                  <c:v>44864</c:v>
                </c:pt>
                <c:pt idx="119">
                  <c:v>44865</c:v>
                </c:pt>
                <c:pt idx="120">
                  <c:v>44866</c:v>
                </c:pt>
                <c:pt idx="121">
                  <c:v>44867</c:v>
                </c:pt>
                <c:pt idx="122">
                  <c:v>44868</c:v>
                </c:pt>
                <c:pt idx="123">
                  <c:v>44869</c:v>
                </c:pt>
                <c:pt idx="124">
                  <c:v>44870</c:v>
                </c:pt>
                <c:pt idx="125">
                  <c:v>44871</c:v>
                </c:pt>
                <c:pt idx="126">
                  <c:v>44872</c:v>
                </c:pt>
                <c:pt idx="127">
                  <c:v>44873</c:v>
                </c:pt>
                <c:pt idx="128">
                  <c:v>44874</c:v>
                </c:pt>
                <c:pt idx="129">
                  <c:v>44875</c:v>
                </c:pt>
                <c:pt idx="130">
                  <c:v>44876</c:v>
                </c:pt>
                <c:pt idx="131">
                  <c:v>44877</c:v>
                </c:pt>
                <c:pt idx="132">
                  <c:v>44878</c:v>
                </c:pt>
                <c:pt idx="133">
                  <c:v>44879</c:v>
                </c:pt>
                <c:pt idx="134">
                  <c:v>44880</c:v>
                </c:pt>
                <c:pt idx="135">
                  <c:v>44881</c:v>
                </c:pt>
                <c:pt idx="136">
                  <c:v>44882</c:v>
                </c:pt>
                <c:pt idx="137">
                  <c:v>44883</c:v>
                </c:pt>
                <c:pt idx="138">
                  <c:v>44884</c:v>
                </c:pt>
                <c:pt idx="139">
                  <c:v>44885</c:v>
                </c:pt>
                <c:pt idx="140">
                  <c:v>44886</c:v>
                </c:pt>
                <c:pt idx="141">
                  <c:v>44887</c:v>
                </c:pt>
                <c:pt idx="142">
                  <c:v>44888</c:v>
                </c:pt>
                <c:pt idx="143">
                  <c:v>44889</c:v>
                </c:pt>
                <c:pt idx="144">
                  <c:v>44890</c:v>
                </c:pt>
                <c:pt idx="145">
                  <c:v>44891</c:v>
                </c:pt>
                <c:pt idx="146">
                  <c:v>44892</c:v>
                </c:pt>
                <c:pt idx="147">
                  <c:v>44893</c:v>
                </c:pt>
                <c:pt idx="148">
                  <c:v>44894</c:v>
                </c:pt>
                <c:pt idx="149">
                  <c:v>44895</c:v>
                </c:pt>
                <c:pt idx="150">
                  <c:v>44896</c:v>
                </c:pt>
                <c:pt idx="151">
                  <c:v>44897</c:v>
                </c:pt>
                <c:pt idx="152">
                  <c:v>44898</c:v>
                </c:pt>
                <c:pt idx="153">
                  <c:v>44899</c:v>
                </c:pt>
                <c:pt idx="154">
                  <c:v>44900</c:v>
                </c:pt>
                <c:pt idx="155">
                  <c:v>44901</c:v>
                </c:pt>
                <c:pt idx="156">
                  <c:v>44902</c:v>
                </c:pt>
                <c:pt idx="157">
                  <c:v>44903</c:v>
                </c:pt>
                <c:pt idx="158">
                  <c:v>44904</c:v>
                </c:pt>
                <c:pt idx="159">
                  <c:v>44905</c:v>
                </c:pt>
                <c:pt idx="160">
                  <c:v>44906</c:v>
                </c:pt>
                <c:pt idx="161">
                  <c:v>44907</c:v>
                </c:pt>
                <c:pt idx="162">
                  <c:v>44908</c:v>
                </c:pt>
                <c:pt idx="163">
                  <c:v>44909</c:v>
                </c:pt>
                <c:pt idx="164">
                  <c:v>44910</c:v>
                </c:pt>
                <c:pt idx="165">
                  <c:v>44911</c:v>
                </c:pt>
                <c:pt idx="166">
                  <c:v>44912</c:v>
                </c:pt>
                <c:pt idx="167">
                  <c:v>44913</c:v>
                </c:pt>
                <c:pt idx="168">
                  <c:v>44914</c:v>
                </c:pt>
                <c:pt idx="169">
                  <c:v>44915</c:v>
                </c:pt>
                <c:pt idx="170">
                  <c:v>44916</c:v>
                </c:pt>
                <c:pt idx="171">
                  <c:v>44917</c:v>
                </c:pt>
                <c:pt idx="172">
                  <c:v>44918</c:v>
                </c:pt>
                <c:pt idx="173">
                  <c:v>44919</c:v>
                </c:pt>
                <c:pt idx="174">
                  <c:v>44920</c:v>
                </c:pt>
                <c:pt idx="175">
                  <c:v>44921</c:v>
                </c:pt>
                <c:pt idx="176">
                  <c:v>44922</c:v>
                </c:pt>
                <c:pt idx="177">
                  <c:v>44923</c:v>
                </c:pt>
                <c:pt idx="178">
                  <c:v>44924</c:v>
                </c:pt>
                <c:pt idx="179">
                  <c:v>44925</c:v>
                </c:pt>
                <c:pt idx="180">
                  <c:v>44926</c:v>
                </c:pt>
                <c:pt idx="181">
                  <c:v>44927</c:v>
                </c:pt>
                <c:pt idx="182">
                  <c:v>44928</c:v>
                </c:pt>
                <c:pt idx="183">
                  <c:v>44929</c:v>
                </c:pt>
                <c:pt idx="184">
                  <c:v>44930</c:v>
                </c:pt>
                <c:pt idx="185">
                  <c:v>44931</c:v>
                </c:pt>
                <c:pt idx="186">
                  <c:v>44932</c:v>
                </c:pt>
                <c:pt idx="187">
                  <c:v>44933</c:v>
                </c:pt>
                <c:pt idx="188">
                  <c:v>44934</c:v>
                </c:pt>
                <c:pt idx="189">
                  <c:v>44935</c:v>
                </c:pt>
                <c:pt idx="190">
                  <c:v>44936</c:v>
                </c:pt>
                <c:pt idx="191">
                  <c:v>44937</c:v>
                </c:pt>
                <c:pt idx="192">
                  <c:v>44938</c:v>
                </c:pt>
                <c:pt idx="193">
                  <c:v>44939</c:v>
                </c:pt>
                <c:pt idx="194">
                  <c:v>44940</c:v>
                </c:pt>
                <c:pt idx="195">
                  <c:v>44941</c:v>
                </c:pt>
                <c:pt idx="196">
                  <c:v>44942</c:v>
                </c:pt>
                <c:pt idx="197">
                  <c:v>44943</c:v>
                </c:pt>
                <c:pt idx="198">
                  <c:v>44944</c:v>
                </c:pt>
                <c:pt idx="199">
                  <c:v>44945</c:v>
                </c:pt>
                <c:pt idx="200">
                  <c:v>44946</c:v>
                </c:pt>
                <c:pt idx="201">
                  <c:v>44947</c:v>
                </c:pt>
                <c:pt idx="202">
                  <c:v>44948</c:v>
                </c:pt>
                <c:pt idx="203">
                  <c:v>44949</c:v>
                </c:pt>
                <c:pt idx="204">
                  <c:v>44950</c:v>
                </c:pt>
                <c:pt idx="205">
                  <c:v>44951</c:v>
                </c:pt>
                <c:pt idx="206">
                  <c:v>44952</c:v>
                </c:pt>
                <c:pt idx="207">
                  <c:v>44953</c:v>
                </c:pt>
                <c:pt idx="208">
                  <c:v>44954</c:v>
                </c:pt>
                <c:pt idx="209">
                  <c:v>44955</c:v>
                </c:pt>
                <c:pt idx="210">
                  <c:v>44956</c:v>
                </c:pt>
                <c:pt idx="211">
                  <c:v>44957</c:v>
                </c:pt>
                <c:pt idx="212">
                  <c:v>44958</c:v>
                </c:pt>
                <c:pt idx="213">
                  <c:v>44959</c:v>
                </c:pt>
                <c:pt idx="214">
                  <c:v>44960</c:v>
                </c:pt>
                <c:pt idx="215">
                  <c:v>44961</c:v>
                </c:pt>
                <c:pt idx="216">
                  <c:v>44962</c:v>
                </c:pt>
                <c:pt idx="217">
                  <c:v>44963</c:v>
                </c:pt>
                <c:pt idx="218">
                  <c:v>44964</c:v>
                </c:pt>
                <c:pt idx="219">
                  <c:v>44965</c:v>
                </c:pt>
                <c:pt idx="220">
                  <c:v>44966</c:v>
                </c:pt>
                <c:pt idx="221">
                  <c:v>44967</c:v>
                </c:pt>
                <c:pt idx="222">
                  <c:v>44968</c:v>
                </c:pt>
                <c:pt idx="223">
                  <c:v>44969</c:v>
                </c:pt>
                <c:pt idx="224">
                  <c:v>44970</c:v>
                </c:pt>
                <c:pt idx="225">
                  <c:v>44971</c:v>
                </c:pt>
                <c:pt idx="226">
                  <c:v>44972</c:v>
                </c:pt>
                <c:pt idx="227">
                  <c:v>44973</c:v>
                </c:pt>
                <c:pt idx="228">
                  <c:v>44974</c:v>
                </c:pt>
                <c:pt idx="229">
                  <c:v>44975</c:v>
                </c:pt>
                <c:pt idx="230">
                  <c:v>44976</c:v>
                </c:pt>
                <c:pt idx="231">
                  <c:v>44977</c:v>
                </c:pt>
                <c:pt idx="232">
                  <c:v>44978</c:v>
                </c:pt>
                <c:pt idx="233">
                  <c:v>44979</c:v>
                </c:pt>
                <c:pt idx="234">
                  <c:v>44980</c:v>
                </c:pt>
                <c:pt idx="235">
                  <c:v>44981</c:v>
                </c:pt>
                <c:pt idx="236">
                  <c:v>44982</c:v>
                </c:pt>
                <c:pt idx="237">
                  <c:v>44983</c:v>
                </c:pt>
                <c:pt idx="238">
                  <c:v>44984</c:v>
                </c:pt>
                <c:pt idx="239">
                  <c:v>44985</c:v>
                </c:pt>
                <c:pt idx="240">
                  <c:v>44986</c:v>
                </c:pt>
                <c:pt idx="241">
                  <c:v>44987</c:v>
                </c:pt>
                <c:pt idx="242">
                  <c:v>44988</c:v>
                </c:pt>
                <c:pt idx="243">
                  <c:v>44989</c:v>
                </c:pt>
                <c:pt idx="244">
                  <c:v>44990</c:v>
                </c:pt>
                <c:pt idx="245">
                  <c:v>44991</c:v>
                </c:pt>
                <c:pt idx="246">
                  <c:v>44992</c:v>
                </c:pt>
                <c:pt idx="247">
                  <c:v>44993</c:v>
                </c:pt>
                <c:pt idx="248">
                  <c:v>44994</c:v>
                </c:pt>
                <c:pt idx="249">
                  <c:v>44995</c:v>
                </c:pt>
                <c:pt idx="250">
                  <c:v>44996</c:v>
                </c:pt>
                <c:pt idx="251">
                  <c:v>44997</c:v>
                </c:pt>
                <c:pt idx="252">
                  <c:v>44998</c:v>
                </c:pt>
                <c:pt idx="253">
                  <c:v>44999</c:v>
                </c:pt>
                <c:pt idx="254">
                  <c:v>45000</c:v>
                </c:pt>
                <c:pt idx="255">
                  <c:v>45001</c:v>
                </c:pt>
                <c:pt idx="256">
                  <c:v>45002</c:v>
                </c:pt>
                <c:pt idx="257">
                  <c:v>45003</c:v>
                </c:pt>
                <c:pt idx="258">
                  <c:v>45004</c:v>
                </c:pt>
                <c:pt idx="259">
                  <c:v>45005</c:v>
                </c:pt>
                <c:pt idx="260">
                  <c:v>45006</c:v>
                </c:pt>
                <c:pt idx="261">
                  <c:v>45007</c:v>
                </c:pt>
                <c:pt idx="262">
                  <c:v>45008</c:v>
                </c:pt>
                <c:pt idx="263">
                  <c:v>45009</c:v>
                </c:pt>
                <c:pt idx="264">
                  <c:v>45010</c:v>
                </c:pt>
                <c:pt idx="265">
                  <c:v>45011</c:v>
                </c:pt>
              </c:numCache>
            </c:numRef>
          </c:cat>
          <c:val>
            <c:numRef>
              <c:f>Визуализация!$H$5:$H$270</c:f>
              <c:numCache>
                <c:formatCode>0.0000</c:formatCode>
                <c:ptCount val="266"/>
                <c:pt idx="0">
                  <c:v>5.4054054054054057E-2</c:v>
                </c:pt>
                <c:pt idx="1">
                  <c:v>3.0888030888030889E-2</c:v>
                </c:pt>
                <c:pt idx="2">
                  <c:v>3.0888030888030889E-2</c:v>
                </c:pt>
                <c:pt idx="3">
                  <c:v>3.8610038610038609E-2</c:v>
                </c:pt>
                <c:pt idx="4">
                  <c:v>5.4054054054054057E-2</c:v>
                </c:pt>
                <c:pt idx="5">
                  <c:v>2.3166023166023165E-2</c:v>
                </c:pt>
                <c:pt idx="6">
                  <c:v>2.7027027027027029E-2</c:v>
                </c:pt>
                <c:pt idx="7">
                  <c:v>1.9305019305019305E-2</c:v>
                </c:pt>
                <c:pt idx="8">
                  <c:v>2.7027027027027029E-2</c:v>
                </c:pt>
                <c:pt idx="9">
                  <c:v>1.9305019305019305E-2</c:v>
                </c:pt>
                <c:pt idx="10">
                  <c:v>2.7027027027027029E-2</c:v>
                </c:pt>
                <c:pt idx="11">
                  <c:v>2.3166023166023165E-2</c:v>
                </c:pt>
                <c:pt idx="12">
                  <c:v>3.8610038610038609E-2</c:v>
                </c:pt>
                <c:pt idx="13">
                  <c:v>3.4749034749034749E-2</c:v>
                </c:pt>
                <c:pt idx="14">
                  <c:v>3.8610038610038609E-2</c:v>
                </c:pt>
                <c:pt idx="15">
                  <c:v>3.0888030888030889E-2</c:v>
                </c:pt>
                <c:pt idx="16">
                  <c:v>2.3166023166023165E-2</c:v>
                </c:pt>
                <c:pt idx="17">
                  <c:v>3.0888030888030889E-2</c:v>
                </c:pt>
                <c:pt idx="18">
                  <c:v>3.8610038610038609E-2</c:v>
                </c:pt>
                <c:pt idx="19">
                  <c:v>4.2471042471042469E-2</c:v>
                </c:pt>
                <c:pt idx="20">
                  <c:v>3.0888030888030889E-2</c:v>
                </c:pt>
                <c:pt idx="21">
                  <c:v>4.633204633204633E-2</c:v>
                </c:pt>
                <c:pt idx="22">
                  <c:v>1.9305019305019305E-2</c:v>
                </c:pt>
                <c:pt idx="23">
                  <c:v>3.0888030888030889E-2</c:v>
                </c:pt>
                <c:pt idx="24">
                  <c:v>4.633204633204633E-2</c:v>
                </c:pt>
                <c:pt idx="25">
                  <c:v>1.1583011583011582E-2</c:v>
                </c:pt>
                <c:pt idx="26">
                  <c:v>3.8610038610038609E-2</c:v>
                </c:pt>
                <c:pt idx="27">
                  <c:v>4.633204633204633E-2</c:v>
                </c:pt>
                <c:pt idx="28">
                  <c:v>2.553191489361702E-2</c:v>
                </c:pt>
                <c:pt idx="29">
                  <c:v>3.4042553191489362E-2</c:v>
                </c:pt>
                <c:pt idx="30">
                  <c:v>1.7021276595744681E-2</c:v>
                </c:pt>
                <c:pt idx="31">
                  <c:v>3.8297872340425532E-2</c:v>
                </c:pt>
                <c:pt idx="32">
                  <c:v>4.2553191489361701E-2</c:v>
                </c:pt>
                <c:pt idx="33">
                  <c:v>1.7021276595744681E-2</c:v>
                </c:pt>
                <c:pt idx="34">
                  <c:v>1.7021276595744681E-2</c:v>
                </c:pt>
                <c:pt idx="35">
                  <c:v>5.9574468085106386E-2</c:v>
                </c:pt>
                <c:pt idx="36">
                  <c:v>2.9787234042553193E-2</c:v>
                </c:pt>
                <c:pt idx="37">
                  <c:v>3.4042553191489362E-2</c:v>
                </c:pt>
                <c:pt idx="38">
                  <c:v>3.8297872340425532E-2</c:v>
                </c:pt>
                <c:pt idx="39">
                  <c:v>4.2553191489361701E-2</c:v>
                </c:pt>
                <c:pt idx="40">
                  <c:v>3.8297872340425532E-2</c:v>
                </c:pt>
                <c:pt idx="41">
                  <c:v>3.4042553191489362E-2</c:v>
                </c:pt>
                <c:pt idx="42">
                  <c:v>2.553191489361702E-2</c:v>
                </c:pt>
                <c:pt idx="43">
                  <c:v>5.106382978723404E-2</c:v>
                </c:pt>
                <c:pt idx="44">
                  <c:v>1.7021276595744681E-2</c:v>
                </c:pt>
                <c:pt idx="45">
                  <c:v>2.1276595744680851E-2</c:v>
                </c:pt>
                <c:pt idx="46">
                  <c:v>3.8297872340425532E-2</c:v>
                </c:pt>
                <c:pt idx="47">
                  <c:v>5.106382978723404E-2</c:v>
                </c:pt>
                <c:pt idx="48">
                  <c:v>2.9787234042553193E-2</c:v>
                </c:pt>
                <c:pt idx="49">
                  <c:v>2.9787234042553193E-2</c:v>
                </c:pt>
                <c:pt idx="50">
                  <c:v>6.3829787234042548E-2</c:v>
                </c:pt>
                <c:pt idx="51">
                  <c:v>2.553191489361702E-2</c:v>
                </c:pt>
                <c:pt idx="52">
                  <c:v>2.553191489361702E-2</c:v>
                </c:pt>
                <c:pt idx="53">
                  <c:v>2.553191489361702E-2</c:v>
                </c:pt>
                <c:pt idx="54">
                  <c:v>2.1276595744680851E-2</c:v>
                </c:pt>
                <c:pt idx="55">
                  <c:v>2.553191489361702E-2</c:v>
                </c:pt>
                <c:pt idx="56">
                  <c:v>2.9787234042553193E-2</c:v>
                </c:pt>
                <c:pt idx="57">
                  <c:v>2.9787234042553193E-2</c:v>
                </c:pt>
                <c:pt idx="58">
                  <c:v>2.1276595744680851E-2</c:v>
                </c:pt>
                <c:pt idx="59">
                  <c:v>3.5019455252918288E-2</c:v>
                </c:pt>
                <c:pt idx="60">
                  <c:v>3.5019455252918288E-2</c:v>
                </c:pt>
                <c:pt idx="61">
                  <c:v>3.1128404669260701E-2</c:v>
                </c:pt>
                <c:pt idx="62">
                  <c:v>3.5019455252918288E-2</c:v>
                </c:pt>
                <c:pt idx="63">
                  <c:v>5.4474708171206226E-2</c:v>
                </c:pt>
                <c:pt idx="64">
                  <c:v>2.3346303501945526E-2</c:v>
                </c:pt>
                <c:pt idx="65">
                  <c:v>3.5019455252918288E-2</c:v>
                </c:pt>
                <c:pt idx="66">
                  <c:v>2.7237354085603113E-2</c:v>
                </c:pt>
                <c:pt idx="67">
                  <c:v>2.3346303501945526E-2</c:v>
                </c:pt>
                <c:pt idx="68">
                  <c:v>3.8910505836575876E-2</c:v>
                </c:pt>
                <c:pt idx="69">
                  <c:v>1.9455252918287938E-2</c:v>
                </c:pt>
                <c:pt idx="70">
                  <c:v>3.1128404669260701E-2</c:v>
                </c:pt>
                <c:pt idx="71">
                  <c:v>3.5019455252918288E-2</c:v>
                </c:pt>
                <c:pt idx="72">
                  <c:v>3.8910505836575876E-2</c:v>
                </c:pt>
                <c:pt idx="73">
                  <c:v>5.0583657587548639E-2</c:v>
                </c:pt>
                <c:pt idx="74">
                  <c:v>6.2256809338521402E-2</c:v>
                </c:pt>
                <c:pt idx="75">
                  <c:v>3.8910505836575876E-2</c:v>
                </c:pt>
                <c:pt idx="76">
                  <c:v>3.1128404669260701E-2</c:v>
                </c:pt>
                <c:pt idx="77">
                  <c:v>2.7237354085603113E-2</c:v>
                </c:pt>
                <c:pt idx="78">
                  <c:v>1.556420233463035E-2</c:v>
                </c:pt>
                <c:pt idx="79">
                  <c:v>3.5019455252918288E-2</c:v>
                </c:pt>
                <c:pt idx="80">
                  <c:v>3.5019455252918288E-2</c:v>
                </c:pt>
                <c:pt idx="81">
                  <c:v>2.7237354085603113E-2</c:v>
                </c:pt>
                <c:pt idx="82">
                  <c:v>4.2801556420233464E-2</c:v>
                </c:pt>
                <c:pt idx="83">
                  <c:v>2.3346303501945526E-2</c:v>
                </c:pt>
                <c:pt idx="84">
                  <c:v>2.7237354085603113E-2</c:v>
                </c:pt>
                <c:pt idx="85">
                  <c:v>3.1128404669260701E-2</c:v>
                </c:pt>
                <c:pt idx="86">
                  <c:v>2.3346303501945526E-2</c:v>
                </c:pt>
                <c:pt idx="87">
                  <c:v>4.2801556420233464E-2</c:v>
                </c:pt>
                <c:pt idx="88">
                  <c:v>2.3346303501945526E-2</c:v>
                </c:pt>
                <c:pt idx="89">
                  <c:v>6.8441064638783272E-2</c:v>
                </c:pt>
                <c:pt idx="90">
                  <c:v>1.9011406844106463E-2</c:v>
                </c:pt>
                <c:pt idx="91">
                  <c:v>3.4220532319391636E-2</c:v>
                </c:pt>
                <c:pt idx="92">
                  <c:v>2.2813688212927757E-2</c:v>
                </c:pt>
                <c:pt idx="93">
                  <c:v>1.9011406844106463E-2</c:v>
                </c:pt>
                <c:pt idx="94">
                  <c:v>3.4220532319391636E-2</c:v>
                </c:pt>
                <c:pt idx="95">
                  <c:v>2.6615969581749048E-2</c:v>
                </c:pt>
                <c:pt idx="96">
                  <c:v>1.5209125475285171E-2</c:v>
                </c:pt>
                <c:pt idx="97">
                  <c:v>1.5209125475285171E-2</c:v>
                </c:pt>
                <c:pt idx="98">
                  <c:v>2.6615969581749048E-2</c:v>
                </c:pt>
                <c:pt idx="99">
                  <c:v>2.6615969581749048E-2</c:v>
                </c:pt>
                <c:pt idx="100">
                  <c:v>5.3231939163498096E-2</c:v>
                </c:pt>
                <c:pt idx="101">
                  <c:v>4.1825095057034217E-2</c:v>
                </c:pt>
                <c:pt idx="102">
                  <c:v>3.0418250950570342E-2</c:v>
                </c:pt>
                <c:pt idx="103">
                  <c:v>2.2813688212927757E-2</c:v>
                </c:pt>
                <c:pt idx="104">
                  <c:v>4.1825095057034217E-2</c:v>
                </c:pt>
                <c:pt idx="105">
                  <c:v>3.0418250950570342E-2</c:v>
                </c:pt>
                <c:pt idx="106">
                  <c:v>3.8022813688212927E-2</c:v>
                </c:pt>
                <c:pt idx="107">
                  <c:v>3.0418250950570342E-2</c:v>
                </c:pt>
                <c:pt idx="108">
                  <c:v>4.9429657794676805E-2</c:v>
                </c:pt>
                <c:pt idx="109">
                  <c:v>3.0418250950570342E-2</c:v>
                </c:pt>
                <c:pt idx="110">
                  <c:v>1.1406844106463879E-2</c:v>
                </c:pt>
                <c:pt idx="111">
                  <c:v>2.6615969581749048E-2</c:v>
                </c:pt>
                <c:pt idx="112">
                  <c:v>4.1825095057034217E-2</c:v>
                </c:pt>
                <c:pt idx="113">
                  <c:v>4.1825095057034217E-2</c:v>
                </c:pt>
                <c:pt idx="114">
                  <c:v>2.2813688212927757E-2</c:v>
                </c:pt>
                <c:pt idx="115">
                  <c:v>4.1825095057034217E-2</c:v>
                </c:pt>
                <c:pt idx="116">
                  <c:v>4.9429657794676805E-2</c:v>
                </c:pt>
                <c:pt idx="117">
                  <c:v>2.6615969581749048E-2</c:v>
                </c:pt>
                <c:pt idx="118">
                  <c:v>2.6615969581749048E-2</c:v>
                </c:pt>
                <c:pt idx="119">
                  <c:v>3.4220532319391636E-2</c:v>
                </c:pt>
                <c:pt idx="120">
                  <c:v>2.7450980392156862E-2</c:v>
                </c:pt>
                <c:pt idx="121">
                  <c:v>2.3529411764705882E-2</c:v>
                </c:pt>
                <c:pt idx="122">
                  <c:v>3.5294117647058823E-2</c:v>
                </c:pt>
                <c:pt idx="123">
                  <c:v>3.5294117647058823E-2</c:v>
                </c:pt>
                <c:pt idx="124">
                  <c:v>2.3529411764705882E-2</c:v>
                </c:pt>
                <c:pt idx="125">
                  <c:v>5.0980392156862744E-2</c:v>
                </c:pt>
                <c:pt idx="126">
                  <c:v>5.0980392156862744E-2</c:v>
                </c:pt>
                <c:pt idx="127">
                  <c:v>2.7450980392156862E-2</c:v>
                </c:pt>
                <c:pt idx="128">
                  <c:v>2.7450980392156862E-2</c:v>
                </c:pt>
                <c:pt idx="129">
                  <c:v>3.1372549019607843E-2</c:v>
                </c:pt>
                <c:pt idx="130">
                  <c:v>5.0980392156862744E-2</c:v>
                </c:pt>
                <c:pt idx="131">
                  <c:v>3.9215686274509803E-2</c:v>
                </c:pt>
                <c:pt idx="132">
                  <c:v>4.3137254901960784E-2</c:v>
                </c:pt>
                <c:pt idx="133">
                  <c:v>3.9215686274509803E-2</c:v>
                </c:pt>
                <c:pt idx="134">
                  <c:v>3.5294117647058823E-2</c:v>
                </c:pt>
                <c:pt idx="135">
                  <c:v>3.9215686274509803E-2</c:v>
                </c:pt>
                <c:pt idx="136">
                  <c:v>2.3529411764705882E-2</c:v>
                </c:pt>
                <c:pt idx="137">
                  <c:v>4.7058823529411764E-2</c:v>
                </c:pt>
                <c:pt idx="138">
                  <c:v>1.5686274509803921E-2</c:v>
                </c:pt>
                <c:pt idx="139">
                  <c:v>3.5294117647058823E-2</c:v>
                </c:pt>
                <c:pt idx="140">
                  <c:v>2.3529411764705882E-2</c:v>
                </c:pt>
                <c:pt idx="141">
                  <c:v>3.5294117647058823E-2</c:v>
                </c:pt>
                <c:pt idx="142">
                  <c:v>1.5686274509803921E-2</c:v>
                </c:pt>
                <c:pt idx="143">
                  <c:v>3.5294117647058823E-2</c:v>
                </c:pt>
                <c:pt idx="144">
                  <c:v>2.7450980392156862E-2</c:v>
                </c:pt>
                <c:pt idx="145">
                  <c:v>3.9215686274509803E-2</c:v>
                </c:pt>
                <c:pt idx="146">
                  <c:v>3.1372549019607843E-2</c:v>
                </c:pt>
                <c:pt idx="147">
                  <c:v>1.1764705882352941E-2</c:v>
                </c:pt>
                <c:pt idx="148">
                  <c:v>5.0980392156862744E-2</c:v>
                </c:pt>
                <c:pt idx="149">
                  <c:v>2.7450980392156862E-2</c:v>
                </c:pt>
                <c:pt idx="150">
                  <c:v>5.0980392156862744E-2</c:v>
                </c:pt>
                <c:pt idx="151">
                  <c:v>2.7450980392156862E-2</c:v>
                </c:pt>
                <c:pt idx="152">
                  <c:v>5.0980392156862744E-2</c:v>
                </c:pt>
                <c:pt idx="153">
                  <c:v>2.7450980392156862E-2</c:v>
                </c:pt>
                <c:pt idx="154">
                  <c:v>2.3529411764705882E-2</c:v>
                </c:pt>
                <c:pt idx="155">
                  <c:v>1.5686274509803921E-2</c:v>
                </c:pt>
                <c:pt idx="156">
                  <c:v>3.5294117647058823E-2</c:v>
                </c:pt>
                <c:pt idx="157">
                  <c:v>2.7450980392156862E-2</c:v>
                </c:pt>
                <c:pt idx="158">
                  <c:v>3.9215686274509803E-2</c:v>
                </c:pt>
                <c:pt idx="159">
                  <c:v>5.4901960784313725E-2</c:v>
                </c:pt>
                <c:pt idx="160">
                  <c:v>2.3529411764705882E-2</c:v>
                </c:pt>
                <c:pt idx="161">
                  <c:v>1.5686274509803921E-2</c:v>
                </c:pt>
                <c:pt idx="162">
                  <c:v>1.5686274509803921E-2</c:v>
                </c:pt>
                <c:pt idx="163">
                  <c:v>1.5686274509803921E-2</c:v>
                </c:pt>
                <c:pt idx="164">
                  <c:v>2.3529411764705882E-2</c:v>
                </c:pt>
                <c:pt idx="165">
                  <c:v>2.3529411764705882E-2</c:v>
                </c:pt>
                <c:pt idx="166">
                  <c:v>2.3529411764705882E-2</c:v>
                </c:pt>
                <c:pt idx="167">
                  <c:v>3.5294117647058823E-2</c:v>
                </c:pt>
                <c:pt idx="168">
                  <c:v>3.5294117647058823E-2</c:v>
                </c:pt>
                <c:pt idx="169">
                  <c:v>3.9215686274509803E-2</c:v>
                </c:pt>
                <c:pt idx="170">
                  <c:v>2.3529411764705882E-2</c:v>
                </c:pt>
                <c:pt idx="171">
                  <c:v>2.3529411764705882E-2</c:v>
                </c:pt>
                <c:pt idx="172">
                  <c:v>2.7450980392156862E-2</c:v>
                </c:pt>
                <c:pt idx="173">
                  <c:v>4.3137254901960784E-2</c:v>
                </c:pt>
                <c:pt idx="174">
                  <c:v>3.5294117647058823E-2</c:v>
                </c:pt>
                <c:pt idx="175">
                  <c:v>4.3137254901960784E-2</c:v>
                </c:pt>
                <c:pt idx="176">
                  <c:v>4.3137254901960784E-2</c:v>
                </c:pt>
                <c:pt idx="177">
                  <c:v>3.5294117647058823E-2</c:v>
                </c:pt>
                <c:pt idx="178">
                  <c:v>3.9215686274509803E-2</c:v>
                </c:pt>
                <c:pt idx="179">
                  <c:v>1.9607843137254902E-2</c:v>
                </c:pt>
                <c:pt idx="180">
                  <c:v>6.2745098039215685E-2</c:v>
                </c:pt>
                <c:pt idx="181">
                  <c:v>3.1325301204819279E-2</c:v>
                </c:pt>
                <c:pt idx="182">
                  <c:v>4.5783132530120479E-2</c:v>
                </c:pt>
                <c:pt idx="183">
                  <c:v>4.0963855421686748E-2</c:v>
                </c:pt>
                <c:pt idx="184">
                  <c:v>2.6506024096385541E-2</c:v>
                </c:pt>
                <c:pt idx="185">
                  <c:v>4.3373493975903614E-2</c:v>
                </c:pt>
                <c:pt idx="186">
                  <c:v>3.614457831325301E-2</c:v>
                </c:pt>
                <c:pt idx="187">
                  <c:v>3.614457831325301E-2</c:v>
                </c:pt>
                <c:pt idx="188">
                  <c:v>2.891566265060241E-2</c:v>
                </c:pt>
                <c:pt idx="189">
                  <c:v>3.614457831325301E-2</c:v>
                </c:pt>
                <c:pt idx="190">
                  <c:v>3.614457831325301E-2</c:v>
                </c:pt>
                <c:pt idx="191">
                  <c:v>4.0963855421686748E-2</c:v>
                </c:pt>
                <c:pt idx="192">
                  <c:v>4.0963855421686748E-2</c:v>
                </c:pt>
                <c:pt idx="193">
                  <c:v>2.6506024096385541E-2</c:v>
                </c:pt>
                <c:pt idx="194">
                  <c:v>1.9277108433734941E-2</c:v>
                </c:pt>
                <c:pt idx="195">
                  <c:v>2.6506024096385541E-2</c:v>
                </c:pt>
                <c:pt idx="196">
                  <c:v>3.1325301204819279E-2</c:v>
                </c:pt>
                <c:pt idx="197">
                  <c:v>3.3734939759036145E-2</c:v>
                </c:pt>
                <c:pt idx="198">
                  <c:v>2.891566265060241E-2</c:v>
                </c:pt>
                <c:pt idx="199">
                  <c:v>2.6506024096385541E-2</c:v>
                </c:pt>
                <c:pt idx="200">
                  <c:v>2.891566265060241E-2</c:v>
                </c:pt>
                <c:pt idx="201">
                  <c:v>1.4457831325301205E-2</c:v>
                </c:pt>
                <c:pt idx="202">
                  <c:v>2.1686746987951807E-2</c:v>
                </c:pt>
                <c:pt idx="203">
                  <c:v>3.3734939759036145E-2</c:v>
                </c:pt>
                <c:pt idx="204">
                  <c:v>4.3373493975903614E-2</c:v>
                </c:pt>
                <c:pt idx="205">
                  <c:v>3.1325301204819279E-2</c:v>
                </c:pt>
                <c:pt idx="206">
                  <c:v>3.1325301204819279E-2</c:v>
                </c:pt>
                <c:pt idx="207">
                  <c:v>3.3734939759036145E-2</c:v>
                </c:pt>
                <c:pt idx="208">
                  <c:v>2.6506024096385541E-2</c:v>
                </c:pt>
                <c:pt idx="209">
                  <c:v>2.891566265060241E-2</c:v>
                </c:pt>
                <c:pt idx="210">
                  <c:v>3.8554216867469883E-2</c:v>
                </c:pt>
                <c:pt idx="211">
                  <c:v>3.1325301204819279E-2</c:v>
                </c:pt>
                <c:pt idx="212">
                  <c:v>3.4934497816593885E-2</c:v>
                </c:pt>
                <c:pt idx="213">
                  <c:v>3.2751091703056769E-2</c:v>
                </c:pt>
                <c:pt idx="214">
                  <c:v>2.6200873362445413E-2</c:v>
                </c:pt>
                <c:pt idx="215">
                  <c:v>2.4017467248908297E-2</c:v>
                </c:pt>
                <c:pt idx="216">
                  <c:v>1.7467248908296942E-2</c:v>
                </c:pt>
                <c:pt idx="217">
                  <c:v>2.4017467248908297E-2</c:v>
                </c:pt>
                <c:pt idx="218">
                  <c:v>3.7117903930131008E-2</c:v>
                </c:pt>
                <c:pt idx="219">
                  <c:v>3.2751091703056769E-2</c:v>
                </c:pt>
                <c:pt idx="220">
                  <c:v>2.6200873362445413E-2</c:v>
                </c:pt>
                <c:pt idx="221">
                  <c:v>2.1834061135371178E-2</c:v>
                </c:pt>
                <c:pt idx="222">
                  <c:v>3.2751091703056769E-2</c:v>
                </c:pt>
                <c:pt idx="223">
                  <c:v>1.3100436681222707E-2</c:v>
                </c:pt>
                <c:pt idx="224">
                  <c:v>3.0567685589519649E-2</c:v>
                </c:pt>
                <c:pt idx="225">
                  <c:v>2.1834061135371178E-2</c:v>
                </c:pt>
                <c:pt idx="226">
                  <c:v>2.6200873362445413E-2</c:v>
                </c:pt>
                <c:pt idx="227">
                  <c:v>3.2751091703056769E-2</c:v>
                </c:pt>
                <c:pt idx="228">
                  <c:v>2.4017467248908297E-2</c:v>
                </c:pt>
                <c:pt idx="229">
                  <c:v>2.1834061135371178E-2</c:v>
                </c:pt>
                <c:pt idx="230">
                  <c:v>3.0567685589519649E-2</c:v>
                </c:pt>
                <c:pt idx="231">
                  <c:v>8.5152838427947602E-2</c:v>
                </c:pt>
                <c:pt idx="232">
                  <c:v>5.0218340611353711E-2</c:v>
                </c:pt>
                <c:pt idx="233">
                  <c:v>4.5851528384279479E-2</c:v>
                </c:pt>
                <c:pt idx="234">
                  <c:v>4.148471615720524E-2</c:v>
                </c:pt>
                <c:pt idx="235">
                  <c:v>5.0218340611353711E-2</c:v>
                </c:pt>
                <c:pt idx="236">
                  <c:v>4.5851528384279479E-2</c:v>
                </c:pt>
                <c:pt idx="237">
                  <c:v>6.3318777292576414E-2</c:v>
                </c:pt>
                <c:pt idx="238">
                  <c:v>5.2401746724890827E-2</c:v>
                </c:pt>
                <c:pt idx="239">
                  <c:v>5.458515283842795E-2</c:v>
                </c:pt>
                <c:pt idx="240">
                  <c:v>3.81791483113069E-2</c:v>
                </c:pt>
                <c:pt idx="241">
                  <c:v>3.9647577092511016E-2</c:v>
                </c:pt>
                <c:pt idx="242">
                  <c:v>2.643171806167401E-2</c:v>
                </c:pt>
                <c:pt idx="243">
                  <c:v>3.6710719530102791E-2</c:v>
                </c:pt>
                <c:pt idx="244">
                  <c:v>3.9647577092511016E-2</c:v>
                </c:pt>
                <c:pt idx="245">
                  <c:v>2.4963289280469897E-2</c:v>
                </c:pt>
                <c:pt idx="246">
                  <c:v>3.6710719530102791E-2</c:v>
                </c:pt>
                <c:pt idx="247">
                  <c:v>3.3773861967694566E-2</c:v>
                </c:pt>
                <c:pt idx="248">
                  <c:v>3.6710719530102791E-2</c:v>
                </c:pt>
                <c:pt idx="249">
                  <c:v>3.0837004405286344E-2</c:v>
                </c:pt>
                <c:pt idx="250">
                  <c:v>4.2584434654919234E-2</c:v>
                </c:pt>
                <c:pt idx="251">
                  <c:v>3.6710719530102791E-2</c:v>
                </c:pt>
                <c:pt idx="252">
                  <c:v>2.643171806167401E-2</c:v>
                </c:pt>
                <c:pt idx="253">
                  <c:v>4.405286343612335E-2</c:v>
                </c:pt>
                <c:pt idx="254">
                  <c:v>3.81791483113069E-2</c:v>
                </c:pt>
                <c:pt idx="255">
                  <c:v>2.9368575624082231E-2</c:v>
                </c:pt>
                <c:pt idx="256">
                  <c:v>3.2305433186490456E-2</c:v>
                </c:pt>
                <c:pt idx="257">
                  <c:v>3.2305433186490456E-2</c:v>
                </c:pt>
                <c:pt idx="258">
                  <c:v>3.81791483113069E-2</c:v>
                </c:pt>
                <c:pt idx="259">
                  <c:v>2.4963289280469897E-2</c:v>
                </c:pt>
                <c:pt idx="260">
                  <c:v>3.3773861967694566E-2</c:v>
                </c:pt>
                <c:pt idx="261">
                  <c:v>3.9647577092511016E-2</c:v>
                </c:pt>
                <c:pt idx="262">
                  <c:v>2.643171806167401E-2</c:v>
                </c:pt>
                <c:pt idx="263">
                  <c:v>2.2026431718061675E-2</c:v>
                </c:pt>
                <c:pt idx="264">
                  <c:v>4.1116005873715125E-2</c:v>
                </c:pt>
                <c:pt idx="265">
                  <c:v>2.4963289280469897E-2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63-4C33-9963-47447278F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778015"/>
        <c:axId val="207787167"/>
      </c:lineChart>
      <c:dateAx>
        <c:axId val="20777801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787167"/>
        <c:crosses val="autoZero"/>
        <c:auto val="1"/>
        <c:lblOffset val="100"/>
        <c:baseTimeUnit val="days"/>
      </c:dateAx>
      <c:valAx>
        <c:axId val="20778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000_-;\-* #\ ##0.00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77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256334</xdr:colOff>
      <xdr:row>0</xdr:row>
      <xdr:rowOff>24831</xdr:rowOff>
    </xdr:from>
    <xdr:to>
      <xdr:col>27</xdr:col>
      <xdr:colOff>190500</xdr:colOff>
      <xdr:row>33</xdr:row>
      <xdr:rowOff>68036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1DBA82F-2520-4612-B49A-AD6D15DD4D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380999</xdr:colOff>
      <xdr:row>37</xdr:row>
      <xdr:rowOff>108858</xdr:rowOff>
    </xdr:from>
    <xdr:to>
      <xdr:col>27</xdr:col>
      <xdr:colOff>201706</xdr:colOff>
      <xdr:row>70</xdr:row>
      <xdr:rowOff>34638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CF1BFA2A-561C-401B-87FB-C938ADED6E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A4F42-5D84-4718-BE1E-F9E60DCC779E}">
  <dimension ref="A1:C10"/>
  <sheetViews>
    <sheetView workbookViewId="0">
      <selection activeCell="E3" sqref="E3"/>
    </sheetView>
  </sheetViews>
  <sheetFormatPr defaultRowHeight="15" x14ac:dyDescent="0.25"/>
  <cols>
    <col min="2" max="2" width="14.28515625" bestFit="1" customWidth="1"/>
  </cols>
  <sheetData>
    <row r="1" spans="1:3" x14ac:dyDescent="0.25">
      <c r="A1" t="s">
        <v>7</v>
      </c>
      <c r="B1" t="s">
        <v>3</v>
      </c>
      <c r="C1" t="s">
        <v>1</v>
      </c>
    </row>
    <row r="2" spans="1:3" x14ac:dyDescent="0.25">
      <c r="A2">
        <f>MONTH(B2)</f>
        <v>7</v>
      </c>
      <c r="B2" s="1">
        <v>44743</v>
      </c>
      <c r="C2">
        <v>259</v>
      </c>
    </row>
    <row r="3" spans="1:3" x14ac:dyDescent="0.25">
      <c r="A3">
        <f t="shared" ref="A3:A10" si="0">MONTH(B3)</f>
        <v>8</v>
      </c>
      <c r="B3" s="1">
        <v>44774</v>
      </c>
      <c r="C3">
        <v>235</v>
      </c>
    </row>
    <row r="4" spans="1:3" x14ac:dyDescent="0.25">
      <c r="A4">
        <f t="shared" si="0"/>
        <v>9</v>
      </c>
      <c r="B4" s="1">
        <v>44805</v>
      </c>
      <c r="C4">
        <v>257</v>
      </c>
    </row>
    <row r="5" spans="1:3" x14ac:dyDescent="0.25">
      <c r="A5">
        <f t="shared" si="0"/>
        <v>10</v>
      </c>
      <c r="B5" s="1">
        <v>44835</v>
      </c>
      <c r="C5">
        <v>263</v>
      </c>
    </row>
    <row r="6" spans="1:3" x14ac:dyDescent="0.25">
      <c r="A6">
        <f t="shared" si="0"/>
        <v>11</v>
      </c>
      <c r="B6" s="1">
        <v>44866</v>
      </c>
      <c r="C6">
        <v>255</v>
      </c>
    </row>
    <row r="7" spans="1:3" x14ac:dyDescent="0.25">
      <c r="A7">
        <f t="shared" si="0"/>
        <v>12</v>
      </c>
      <c r="B7" s="1">
        <v>44896</v>
      </c>
      <c r="C7">
        <v>255</v>
      </c>
    </row>
    <row r="8" spans="1:3" x14ac:dyDescent="0.25">
      <c r="A8">
        <f t="shared" si="0"/>
        <v>1</v>
      </c>
      <c r="B8" s="1">
        <v>44927</v>
      </c>
      <c r="C8">
        <v>415</v>
      </c>
    </row>
    <row r="9" spans="1:3" x14ac:dyDescent="0.25">
      <c r="A9">
        <f t="shared" si="0"/>
        <v>2</v>
      </c>
      <c r="B9" s="1">
        <v>44958</v>
      </c>
      <c r="C9">
        <v>458</v>
      </c>
    </row>
    <row r="10" spans="1:3" x14ac:dyDescent="0.25">
      <c r="A10">
        <f t="shared" si="0"/>
        <v>3</v>
      </c>
      <c r="B10" s="1">
        <v>44986</v>
      </c>
      <c r="C10">
        <v>681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DA99E-1C31-485E-9405-FD6871E4370F}">
  <dimension ref="A1:C41"/>
  <sheetViews>
    <sheetView workbookViewId="0">
      <selection activeCell="A2" sqref="A2"/>
    </sheetView>
  </sheetViews>
  <sheetFormatPr defaultRowHeight="15" x14ac:dyDescent="0.25"/>
  <cols>
    <col min="2" max="2" width="14.28515625" bestFit="1" customWidth="1"/>
  </cols>
  <sheetData>
    <row r="1" spans="1:3" x14ac:dyDescent="0.25">
      <c r="B1" t="s">
        <v>2</v>
      </c>
      <c r="C1" t="s">
        <v>1</v>
      </c>
    </row>
    <row r="2" spans="1:3" x14ac:dyDescent="0.25">
      <c r="A2">
        <f>_xlfn.ISOWEEKNUM(B2)</f>
        <v>26</v>
      </c>
      <c r="B2" s="1">
        <v>44739</v>
      </c>
      <c r="C2">
        <v>20</v>
      </c>
    </row>
    <row r="3" spans="1:3" x14ac:dyDescent="0.25">
      <c r="A3">
        <f>_xlfn.ISOWEEKNUM(B3)</f>
        <v>27</v>
      </c>
      <c r="B3" s="1">
        <v>44746</v>
      </c>
      <c r="C3">
        <v>67</v>
      </c>
    </row>
    <row r="4" spans="1:3" x14ac:dyDescent="0.25">
      <c r="A4">
        <f>_xlfn.ISOWEEKNUM(B4)</f>
        <v>28</v>
      </c>
      <c r="B4" s="1">
        <v>44753</v>
      </c>
      <c r="C4">
        <v>49</v>
      </c>
    </row>
    <row r="5" spans="1:3" x14ac:dyDescent="0.25">
      <c r="A5">
        <f>_xlfn.ISOWEEKNUM(B5)</f>
        <v>29</v>
      </c>
      <c r="B5" s="1">
        <v>44760</v>
      </c>
      <c r="C5">
        <v>61</v>
      </c>
    </row>
    <row r="6" spans="1:3" x14ac:dyDescent="0.25">
      <c r="A6">
        <f>_xlfn.ISOWEEKNUM(B6)</f>
        <v>30</v>
      </c>
      <c r="B6" s="1">
        <v>44767</v>
      </c>
      <c r="C6">
        <v>62</v>
      </c>
    </row>
    <row r="7" spans="1:3" x14ac:dyDescent="0.25">
      <c r="A7">
        <f>_xlfn.ISOWEEKNUM(B7)</f>
        <v>31</v>
      </c>
      <c r="B7" s="1">
        <v>44774</v>
      </c>
      <c r="C7">
        <v>45</v>
      </c>
    </row>
    <row r="8" spans="1:3" x14ac:dyDescent="0.25">
      <c r="A8">
        <f>_xlfn.ISOWEEKNUM(B8)</f>
        <v>32</v>
      </c>
      <c r="B8" s="1">
        <v>44781</v>
      </c>
      <c r="C8">
        <v>65</v>
      </c>
    </row>
    <row r="9" spans="1:3" x14ac:dyDescent="0.25">
      <c r="A9">
        <f>_xlfn.ISOWEEKNUM(B9)</f>
        <v>33</v>
      </c>
      <c r="B9" s="1">
        <v>44788</v>
      </c>
      <c r="C9">
        <v>55</v>
      </c>
    </row>
    <row r="10" spans="1:3" x14ac:dyDescent="0.25">
      <c r="A10">
        <f>_xlfn.ISOWEEKNUM(B10)</f>
        <v>34</v>
      </c>
      <c r="B10" s="1">
        <v>44795</v>
      </c>
      <c r="C10">
        <v>51</v>
      </c>
    </row>
    <row r="11" spans="1:3" x14ac:dyDescent="0.25">
      <c r="A11">
        <f>_xlfn.ISOWEEKNUM(B11)</f>
        <v>35</v>
      </c>
      <c r="B11" s="1">
        <v>44802</v>
      </c>
      <c r="C11">
        <v>54</v>
      </c>
    </row>
    <row r="12" spans="1:3" x14ac:dyDescent="0.25">
      <c r="A12">
        <f>_xlfn.ISOWEEKNUM(B12)</f>
        <v>36</v>
      </c>
      <c r="B12" s="1">
        <v>44809</v>
      </c>
      <c r="C12">
        <v>57</v>
      </c>
    </row>
    <row r="13" spans="1:3" x14ac:dyDescent="0.25">
      <c r="A13">
        <f>_xlfn.ISOWEEKNUM(B13)</f>
        <v>37</v>
      </c>
      <c r="B13" s="1">
        <v>44816</v>
      </c>
      <c r="C13">
        <v>74</v>
      </c>
    </row>
    <row r="14" spans="1:3" x14ac:dyDescent="0.25">
      <c r="A14">
        <f>_xlfn.ISOWEEKNUM(B14)</f>
        <v>38</v>
      </c>
      <c r="B14" s="1">
        <v>44823</v>
      </c>
      <c r="C14">
        <v>53</v>
      </c>
    </row>
    <row r="15" spans="1:3" x14ac:dyDescent="0.25">
      <c r="A15">
        <f>_xlfn.ISOWEEKNUM(B15)</f>
        <v>39</v>
      </c>
      <c r="B15" s="1">
        <v>44830</v>
      </c>
      <c r="C15">
        <v>61</v>
      </c>
    </row>
    <row r="16" spans="1:3" x14ac:dyDescent="0.25">
      <c r="A16">
        <f>_xlfn.ISOWEEKNUM(B16)</f>
        <v>40</v>
      </c>
      <c r="B16" s="1">
        <v>44837</v>
      </c>
      <c r="C16">
        <v>44</v>
      </c>
    </row>
    <row r="17" spans="1:3" x14ac:dyDescent="0.25">
      <c r="A17">
        <f>_xlfn.ISOWEEKNUM(B17)</f>
        <v>41</v>
      </c>
      <c r="B17" s="1">
        <v>44844</v>
      </c>
      <c r="C17">
        <v>64</v>
      </c>
    </row>
    <row r="18" spans="1:3" x14ac:dyDescent="0.25">
      <c r="A18">
        <f>_xlfn.ISOWEEKNUM(B18)</f>
        <v>42</v>
      </c>
      <c r="B18" s="1">
        <v>44851</v>
      </c>
      <c r="C18">
        <v>57</v>
      </c>
    </row>
    <row r="19" spans="1:3" x14ac:dyDescent="0.25">
      <c r="A19">
        <f>_xlfn.ISOWEEKNUM(B19)</f>
        <v>43</v>
      </c>
      <c r="B19" s="1">
        <v>44858</v>
      </c>
      <c r="C19">
        <v>66</v>
      </c>
    </row>
    <row r="20" spans="1:3" x14ac:dyDescent="0.25">
      <c r="A20">
        <f>_xlfn.ISOWEEKNUM(B20)</f>
        <v>44</v>
      </c>
      <c r="B20" s="1">
        <v>44865</v>
      </c>
      <c r="C20">
        <v>59</v>
      </c>
    </row>
    <row r="21" spans="1:3" x14ac:dyDescent="0.25">
      <c r="A21">
        <f>_xlfn.ISOWEEKNUM(B21)</f>
        <v>45</v>
      </c>
      <c r="B21" s="1">
        <v>44872</v>
      </c>
      <c r="C21">
        <v>69</v>
      </c>
    </row>
    <row r="22" spans="1:3" x14ac:dyDescent="0.25">
      <c r="A22">
        <f>_xlfn.ISOWEEKNUM(B22)</f>
        <v>46</v>
      </c>
      <c r="B22" s="1">
        <v>44879</v>
      </c>
      <c r="C22">
        <v>60</v>
      </c>
    </row>
    <row r="23" spans="1:3" x14ac:dyDescent="0.25">
      <c r="A23">
        <f>_xlfn.ISOWEEKNUM(B23)</f>
        <v>47</v>
      </c>
      <c r="B23" s="1">
        <v>44886</v>
      </c>
      <c r="C23">
        <v>53</v>
      </c>
    </row>
    <row r="24" spans="1:3" x14ac:dyDescent="0.25">
      <c r="A24">
        <f>_xlfn.ISOWEEKNUM(B24)</f>
        <v>48</v>
      </c>
      <c r="B24" s="1">
        <v>44893</v>
      </c>
      <c r="C24">
        <v>63</v>
      </c>
    </row>
    <row r="25" spans="1:3" x14ac:dyDescent="0.25">
      <c r="A25">
        <f>_xlfn.ISOWEEKNUM(B25)</f>
        <v>49</v>
      </c>
      <c r="B25" s="1">
        <v>44900</v>
      </c>
      <c r="C25">
        <v>56</v>
      </c>
    </row>
    <row r="26" spans="1:3" x14ac:dyDescent="0.25">
      <c r="A26">
        <f>_xlfn.ISOWEEKNUM(B26)</f>
        <v>50</v>
      </c>
      <c r="B26" s="1">
        <v>44907</v>
      </c>
      <c r="C26">
        <v>39</v>
      </c>
    </row>
    <row r="27" spans="1:3" x14ac:dyDescent="0.25">
      <c r="A27">
        <f>_xlfn.ISOWEEKNUM(B27)</f>
        <v>51</v>
      </c>
      <c r="B27" s="1">
        <v>44914</v>
      </c>
      <c r="C27">
        <v>58</v>
      </c>
    </row>
    <row r="28" spans="1:3" x14ac:dyDescent="0.25">
      <c r="A28">
        <f>_xlfn.ISOWEEKNUM(B28)</f>
        <v>52</v>
      </c>
      <c r="B28" s="1">
        <v>44921</v>
      </c>
      <c r="C28">
        <v>75</v>
      </c>
    </row>
    <row r="29" spans="1:3" x14ac:dyDescent="0.25">
      <c r="A29">
        <f>_xlfn.ISOWEEKNUM(B29)</f>
        <v>1</v>
      </c>
      <c r="B29" s="1">
        <v>44928</v>
      </c>
      <c r="C29">
        <v>107</v>
      </c>
    </row>
    <row r="30" spans="1:3" x14ac:dyDescent="0.25">
      <c r="A30">
        <f>_xlfn.ISOWEEKNUM(B30)</f>
        <v>2</v>
      </c>
      <c r="B30" s="1">
        <v>44935</v>
      </c>
      <c r="C30">
        <v>94</v>
      </c>
    </row>
    <row r="31" spans="1:3" x14ac:dyDescent="0.25">
      <c r="A31">
        <f>_xlfn.ISOWEEKNUM(B31)</f>
        <v>3</v>
      </c>
      <c r="B31" s="1">
        <v>44942</v>
      </c>
      <c r="C31">
        <v>77</v>
      </c>
    </row>
    <row r="32" spans="1:3" x14ac:dyDescent="0.25">
      <c r="A32">
        <f>_xlfn.ISOWEEKNUM(B32)</f>
        <v>4</v>
      </c>
      <c r="B32" s="1">
        <v>44949</v>
      </c>
      <c r="C32">
        <v>95</v>
      </c>
    </row>
    <row r="33" spans="1:3" x14ac:dyDescent="0.25">
      <c r="A33">
        <f>_xlfn.ISOWEEKNUM(B33)</f>
        <v>5</v>
      </c>
      <c r="B33" s="1">
        <v>44956</v>
      </c>
      <c r="C33">
        <v>91</v>
      </c>
    </row>
    <row r="34" spans="1:3" x14ac:dyDescent="0.25">
      <c r="A34">
        <f>_xlfn.ISOWEEKNUM(B34)</f>
        <v>6</v>
      </c>
      <c r="B34" s="1">
        <v>44963</v>
      </c>
      <c r="C34">
        <v>86</v>
      </c>
    </row>
    <row r="35" spans="1:3" x14ac:dyDescent="0.25">
      <c r="A35">
        <f>_xlfn.ISOWEEKNUM(B35)</f>
        <v>7</v>
      </c>
      <c r="B35" s="1">
        <v>44970</v>
      </c>
      <c r="C35">
        <v>86</v>
      </c>
    </row>
    <row r="36" spans="1:3" x14ac:dyDescent="0.25">
      <c r="A36">
        <f>_xlfn.ISOWEEKNUM(B36)</f>
        <v>8</v>
      </c>
      <c r="B36" s="1">
        <v>44977</v>
      </c>
      <c r="C36">
        <v>175</v>
      </c>
    </row>
    <row r="37" spans="1:3" x14ac:dyDescent="0.25">
      <c r="A37">
        <f>_xlfn.ISOWEEKNUM(B37)</f>
        <v>9</v>
      </c>
      <c r="B37" s="1">
        <v>44984</v>
      </c>
      <c r="C37">
        <v>172</v>
      </c>
    </row>
    <row r="38" spans="1:3" x14ac:dyDescent="0.25">
      <c r="A38">
        <f>_xlfn.ISOWEEKNUM(B38)</f>
        <v>10</v>
      </c>
      <c r="B38" s="1">
        <v>44991</v>
      </c>
      <c r="C38">
        <v>165</v>
      </c>
    </row>
    <row r="39" spans="1:3" x14ac:dyDescent="0.25">
      <c r="A39">
        <f>_xlfn.ISOWEEKNUM(B39)</f>
        <v>11</v>
      </c>
      <c r="B39" s="1">
        <v>44998</v>
      </c>
      <c r="C39">
        <v>164</v>
      </c>
    </row>
    <row r="40" spans="1:3" x14ac:dyDescent="0.25">
      <c r="A40">
        <f>_xlfn.ISOWEEKNUM(B40)</f>
        <v>12</v>
      </c>
      <c r="B40" s="1">
        <v>45005</v>
      </c>
      <c r="C40">
        <v>145</v>
      </c>
    </row>
    <row r="41" spans="1:3" x14ac:dyDescent="0.25">
      <c r="A41">
        <f>_xlfn.ISOWEEKNUM(B41)</f>
        <v>13</v>
      </c>
      <c r="B41" s="1">
        <v>45012</v>
      </c>
      <c r="C41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F7A9E-EE18-4B31-B59A-B8D963A70F78}">
  <dimension ref="A1:B274"/>
  <sheetViews>
    <sheetView workbookViewId="0">
      <selection activeCell="E28" sqref="E28"/>
    </sheetView>
  </sheetViews>
  <sheetFormatPr defaultRowHeight="15" x14ac:dyDescent="0.25"/>
  <cols>
    <col min="1" max="1" width="14.28515625" bestFit="1" customWidth="1"/>
  </cols>
  <sheetData>
    <row r="1" spans="1:2" x14ac:dyDescent="0.25">
      <c r="A1" s="2" t="s">
        <v>0</v>
      </c>
      <c r="B1" s="2" t="s">
        <v>4</v>
      </c>
    </row>
    <row r="2" spans="1:2" x14ac:dyDescent="0.25">
      <c r="A2" s="1">
        <v>44743</v>
      </c>
      <c r="B2">
        <v>7</v>
      </c>
    </row>
    <row r="3" spans="1:2" x14ac:dyDescent="0.25">
      <c r="A3" s="1">
        <v>44744</v>
      </c>
      <c r="B3">
        <v>7</v>
      </c>
    </row>
    <row r="4" spans="1:2" x14ac:dyDescent="0.25">
      <c r="A4" s="1">
        <v>44745</v>
      </c>
      <c r="B4">
        <v>6</v>
      </c>
    </row>
    <row r="5" spans="1:2" x14ac:dyDescent="0.25">
      <c r="A5" s="1">
        <v>44746</v>
      </c>
      <c r="B5">
        <v>14</v>
      </c>
    </row>
    <row r="6" spans="1:2" x14ac:dyDescent="0.25">
      <c r="A6" s="1">
        <v>44747</v>
      </c>
      <c r="B6">
        <v>8</v>
      </c>
    </row>
    <row r="7" spans="1:2" x14ac:dyDescent="0.25">
      <c r="A7" s="1">
        <v>44748</v>
      </c>
      <c r="B7">
        <v>8</v>
      </c>
    </row>
    <row r="8" spans="1:2" x14ac:dyDescent="0.25">
      <c r="A8" s="1">
        <v>44749</v>
      </c>
      <c r="B8">
        <v>10</v>
      </c>
    </row>
    <row r="9" spans="1:2" x14ac:dyDescent="0.25">
      <c r="A9" s="1">
        <v>44750</v>
      </c>
      <c r="B9">
        <v>14</v>
      </c>
    </row>
    <row r="10" spans="1:2" x14ac:dyDescent="0.25">
      <c r="A10" s="1">
        <v>44751</v>
      </c>
      <c r="B10">
        <v>6</v>
      </c>
    </row>
    <row r="11" spans="1:2" x14ac:dyDescent="0.25">
      <c r="A11" s="1">
        <v>44752</v>
      </c>
      <c r="B11">
        <v>7</v>
      </c>
    </row>
    <row r="12" spans="1:2" x14ac:dyDescent="0.25">
      <c r="A12" s="1">
        <v>44753</v>
      </c>
      <c r="B12">
        <v>5</v>
      </c>
    </row>
    <row r="13" spans="1:2" x14ac:dyDescent="0.25">
      <c r="A13" s="1">
        <v>44754</v>
      </c>
      <c r="B13">
        <v>7</v>
      </c>
    </row>
    <row r="14" spans="1:2" x14ac:dyDescent="0.25">
      <c r="A14" s="1">
        <v>44755</v>
      </c>
      <c r="B14">
        <v>5</v>
      </c>
    </row>
    <row r="15" spans="1:2" x14ac:dyDescent="0.25">
      <c r="A15" s="1">
        <v>44756</v>
      </c>
      <c r="B15">
        <v>7</v>
      </c>
    </row>
    <row r="16" spans="1:2" x14ac:dyDescent="0.25">
      <c r="A16" s="1">
        <v>44757</v>
      </c>
      <c r="B16">
        <v>6</v>
      </c>
    </row>
    <row r="17" spans="1:2" x14ac:dyDescent="0.25">
      <c r="A17" s="1">
        <v>44758</v>
      </c>
      <c r="B17">
        <v>10</v>
      </c>
    </row>
    <row r="18" spans="1:2" x14ac:dyDescent="0.25">
      <c r="A18" s="1">
        <v>44759</v>
      </c>
      <c r="B18">
        <v>9</v>
      </c>
    </row>
    <row r="19" spans="1:2" x14ac:dyDescent="0.25">
      <c r="A19" s="1">
        <v>44760</v>
      </c>
      <c r="B19">
        <v>10</v>
      </c>
    </row>
    <row r="20" spans="1:2" x14ac:dyDescent="0.25">
      <c r="A20" s="1">
        <v>44761</v>
      </c>
      <c r="B20">
        <v>8</v>
      </c>
    </row>
    <row r="21" spans="1:2" x14ac:dyDescent="0.25">
      <c r="A21" s="1">
        <v>44762</v>
      </c>
      <c r="B21">
        <v>6</v>
      </c>
    </row>
    <row r="22" spans="1:2" x14ac:dyDescent="0.25">
      <c r="A22" s="1">
        <v>44763</v>
      </c>
      <c r="B22">
        <v>8</v>
      </c>
    </row>
    <row r="23" spans="1:2" x14ac:dyDescent="0.25">
      <c r="A23" s="1">
        <v>44764</v>
      </c>
      <c r="B23">
        <v>10</v>
      </c>
    </row>
    <row r="24" spans="1:2" x14ac:dyDescent="0.25">
      <c r="A24" s="1">
        <v>44765</v>
      </c>
      <c r="B24">
        <v>11</v>
      </c>
    </row>
    <row r="25" spans="1:2" x14ac:dyDescent="0.25">
      <c r="A25" s="1">
        <v>44766</v>
      </c>
      <c r="B25">
        <v>8</v>
      </c>
    </row>
    <row r="26" spans="1:2" x14ac:dyDescent="0.25">
      <c r="A26" s="1">
        <v>44767</v>
      </c>
      <c r="B26">
        <v>12</v>
      </c>
    </row>
    <row r="27" spans="1:2" x14ac:dyDescent="0.25">
      <c r="A27" s="1">
        <v>44768</v>
      </c>
      <c r="B27">
        <v>5</v>
      </c>
    </row>
    <row r="28" spans="1:2" x14ac:dyDescent="0.25">
      <c r="A28" s="1">
        <v>44769</v>
      </c>
      <c r="B28">
        <v>8</v>
      </c>
    </row>
    <row r="29" spans="1:2" x14ac:dyDescent="0.25">
      <c r="A29" s="1">
        <v>44770</v>
      </c>
      <c r="B29">
        <v>12</v>
      </c>
    </row>
    <row r="30" spans="1:2" x14ac:dyDescent="0.25">
      <c r="A30" s="1">
        <v>44771</v>
      </c>
      <c r="B30">
        <v>3</v>
      </c>
    </row>
    <row r="31" spans="1:2" x14ac:dyDescent="0.25">
      <c r="A31" s="1">
        <v>44772</v>
      </c>
      <c r="B31">
        <v>10</v>
      </c>
    </row>
    <row r="32" spans="1:2" x14ac:dyDescent="0.25">
      <c r="A32" s="1">
        <v>44773</v>
      </c>
      <c r="B32">
        <v>12</v>
      </c>
    </row>
    <row r="33" spans="1:2" x14ac:dyDescent="0.25">
      <c r="A33" s="1">
        <v>44774</v>
      </c>
      <c r="B33">
        <v>6</v>
      </c>
    </row>
    <row r="34" spans="1:2" x14ac:dyDescent="0.25">
      <c r="A34" s="1">
        <v>44775</v>
      </c>
      <c r="B34">
        <v>8</v>
      </c>
    </row>
    <row r="35" spans="1:2" x14ac:dyDescent="0.25">
      <c r="A35" s="1">
        <v>44776</v>
      </c>
      <c r="B35">
        <v>4</v>
      </c>
    </row>
    <row r="36" spans="1:2" x14ac:dyDescent="0.25">
      <c r="A36" s="1">
        <v>44777</v>
      </c>
      <c r="B36">
        <v>9</v>
      </c>
    </row>
    <row r="37" spans="1:2" x14ac:dyDescent="0.25">
      <c r="A37" s="1">
        <v>44778</v>
      </c>
      <c r="B37">
        <v>10</v>
      </c>
    </row>
    <row r="38" spans="1:2" x14ac:dyDescent="0.25">
      <c r="A38" s="1">
        <v>44779</v>
      </c>
      <c r="B38">
        <v>4</v>
      </c>
    </row>
    <row r="39" spans="1:2" x14ac:dyDescent="0.25">
      <c r="A39" s="1">
        <v>44780</v>
      </c>
      <c r="B39">
        <v>4</v>
      </c>
    </row>
    <row r="40" spans="1:2" x14ac:dyDescent="0.25">
      <c r="A40" s="1">
        <v>44781</v>
      </c>
      <c r="B40">
        <v>14</v>
      </c>
    </row>
    <row r="41" spans="1:2" x14ac:dyDescent="0.25">
      <c r="A41" s="1">
        <v>44782</v>
      </c>
      <c r="B41">
        <v>7</v>
      </c>
    </row>
    <row r="42" spans="1:2" x14ac:dyDescent="0.25">
      <c r="A42" s="1">
        <v>44783</v>
      </c>
      <c r="B42">
        <v>8</v>
      </c>
    </row>
    <row r="43" spans="1:2" x14ac:dyDescent="0.25">
      <c r="A43" s="1">
        <v>44784</v>
      </c>
      <c r="B43">
        <v>9</v>
      </c>
    </row>
    <row r="44" spans="1:2" x14ac:dyDescent="0.25">
      <c r="A44" s="1">
        <v>44785</v>
      </c>
      <c r="B44">
        <v>10</v>
      </c>
    </row>
    <row r="45" spans="1:2" x14ac:dyDescent="0.25">
      <c r="A45" s="1">
        <v>44786</v>
      </c>
      <c r="B45">
        <v>9</v>
      </c>
    </row>
    <row r="46" spans="1:2" x14ac:dyDescent="0.25">
      <c r="A46" s="1">
        <v>44787</v>
      </c>
      <c r="B46">
        <v>8</v>
      </c>
    </row>
    <row r="47" spans="1:2" x14ac:dyDescent="0.25">
      <c r="A47" s="1">
        <v>44788</v>
      </c>
      <c r="B47">
        <v>6</v>
      </c>
    </row>
    <row r="48" spans="1:2" x14ac:dyDescent="0.25">
      <c r="A48" s="1">
        <v>44789</v>
      </c>
      <c r="B48">
        <v>12</v>
      </c>
    </row>
    <row r="49" spans="1:2" x14ac:dyDescent="0.25">
      <c r="A49" s="1">
        <v>44790</v>
      </c>
      <c r="B49">
        <v>4</v>
      </c>
    </row>
    <row r="50" spans="1:2" x14ac:dyDescent="0.25">
      <c r="A50" s="1">
        <v>44791</v>
      </c>
      <c r="B50">
        <v>5</v>
      </c>
    </row>
    <row r="51" spans="1:2" x14ac:dyDescent="0.25">
      <c r="A51" s="1">
        <v>44792</v>
      </c>
      <c r="B51">
        <v>9</v>
      </c>
    </row>
    <row r="52" spans="1:2" x14ac:dyDescent="0.25">
      <c r="A52" s="1">
        <v>44793</v>
      </c>
      <c r="B52">
        <v>12</v>
      </c>
    </row>
    <row r="53" spans="1:2" x14ac:dyDescent="0.25">
      <c r="A53" s="1">
        <v>44794</v>
      </c>
      <c r="B53">
        <v>7</v>
      </c>
    </row>
    <row r="54" spans="1:2" x14ac:dyDescent="0.25">
      <c r="A54" s="1">
        <v>44795</v>
      </c>
      <c r="B54">
        <v>7</v>
      </c>
    </row>
    <row r="55" spans="1:2" x14ac:dyDescent="0.25">
      <c r="A55" s="1">
        <v>44796</v>
      </c>
      <c r="B55">
        <v>15</v>
      </c>
    </row>
    <row r="56" spans="1:2" x14ac:dyDescent="0.25">
      <c r="A56" s="1">
        <v>44797</v>
      </c>
      <c r="B56">
        <v>6</v>
      </c>
    </row>
    <row r="57" spans="1:2" x14ac:dyDescent="0.25">
      <c r="A57" s="1">
        <v>44798</v>
      </c>
      <c r="B57">
        <v>6</v>
      </c>
    </row>
    <row r="58" spans="1:2" x14ac:dyDescent="0.25">
      <c r="A58" s="1">
        <v>44799</v>
      </c>
      <c r="B58">
        <v>6</v>
      </c>
    </row>
    <row r="59" spans="1:2" x14ac:dyDescent="0.25">
      <c r="A59" s="1">
        <v>44800</v>
      </c>
      <c r="B59">
        <v>5</v>
      </c>
    </row>
    <row r="60" spans="1:2" x14ac:dyDescent="0.25">
      <c r="A60" s="1">
        <v>44801</v>
      </c>
      <c r="B60">
        <v>6</v>
      </c>
    </row>
    <row r="61" spans="1:2" x14ac:dyDescent="0.25">
      <c r="A61" s="1">
        <v>44802</v>
      </c>
      <c r="B61">
        <v>7</v>
      </c>
    </row>
    <row r="62" spans="1:2" x14ac:dyDescent="0.25">
      <c r="A62" s="1">
        <v>44803</v>
      </c>
      <c r="B62">
        <v>7</v>
      </c>
    </row>
    <row r="63" spans="1:2" x14ac:dyDescent="0.25">
      <c r="A63" s="1">
        <v>44804</v>
      </c>
      <c r="B63">
        <v>5</v>
      </c>
    </row>
    <row r="64" spans="1:2" x14ac:dyDescent="0.25">
      <c r="A64" s="1">
        <v>44805</v>
      </c>
      <c r="B64">
        <v>9</v>
      </c>
    </row>
    <row r="65" spans="1:2" x14ac:dyDescent="0.25">
      <c r="A65" s="1">
        <v>44806</v>
      </c>
      <c r="B65">
        <v>9</v>
      </c>
    </row>
    <row r="66" spans="1:2" x14ac:dyDescent="0.25">
      <c r="A66" s="1">
        <v>44807</v>
      </c>
      <c r="B66">
        <v>8</v>
      </c>
    </row>
    <row r="67" spans="1:2" x14ac:dyDescent="0.25">
      <c r="A67" s="1">
        <v>44808</v>
      </c>
      <c r="B67">
        <v>9</v>
      </c>
    </row>
    <row r="68" spans="1:2" x14ac:dyDescent="0.25">
      <c r="A68" s="1">
        <v>44809</v>
      </c>
      <c r="B68">
        <v>14</v>
      </c>
    </row>
    <row r="69" spans="1:2" x14ac:dyDescent="0.25">
      <c r="A69" s="1">
        <v>44810</v>
      </c>
      <c r="B69">
        <v>6</v>
      </c>
    </row>
    <row r="70" spans="1:2" x14ac:dyDescent="0.25">
      <c r="A70" s="1">
        <v>44811</v>
      </c>
      <c r="B70">
        <v>9</v>
      </c>
    </row>
    <row r="71" spans="1:2" x14ac:dyDescent="0.25">
      <c r="A71" s="1">
        <v>44812</v>
      </c>
      <c r="B71">
        <v>7</v>
      </c>
    </row>
    <row r="72" spans="1:2" x14ac:dyDescent="0.25">
      <c r="A72" s="1">
        <v>44813</v>
      </c>
      <c r="B72">
        <v>6</v>
      </c>
    </row>
    <row r="73" spans="1:2" x14ac:dyDescent="0.25">
      <c r="A73" s="1">
        <v>44814</v>
      </c>
      <c r="B73">
        <v>10</v>
      </c>
    </row>
    <row r="74" spans="1:2" x14ac:dyDescent="0.25">
      <c r="A74" s="1">
        <v>44815</v>
      </c>
      <c r="B74">
        <v>5</v>
      </c>
    </row>
    <row r="75" spans="1:2" x14ac:dyDescent="0.25">
      <c r="A75" s="1">
        <v>44816</v>
      </c>
      <c r="B75">
        <v>8</v>
      </c>
    </row>
    <row r="76" spans="1:2" x14ac:dyDescent="0.25">
      <c r="A76" s="1">
        <v>44817</v>
      </c>
      <c r="B76">
        <v>9</v>
      </c>
    </row>
    <row r="77" spans="1:2" x14ac:dyDescent="0.25">
      <c r="A77" s="1">
        <v>44818</v>
      </c>
      <c r="B77">
        <v>10</v>
      </c>
    </row>
    <row r="78" spans="1:2" x14ac:dyDescent="0.25">
      <c r="A78" s="1">
        <v>44819</v>
      </c>
      <c r="B78">
        <v>13</v>
      </c>
    </row>
    <row r="79" spans="1:2" x14ac:dyDescent="0.25">
      <c r="A79" s="1">
        <v>44820</v>
      </c>
      <c r="B79">
        <v>16</v>
      </c>
    </row>
    <row r="80" spans="1:2" x14ac:dyDescent="0.25">
      <c r="A80" s="1">
        <v>44821</v>
      </c>
      <c r="B80">
        <v>10</v>
      </c>
    </row>
    <row r="81" spans="1:2" x14ac:dyDescent="0.25">
      <c r="A81" s="1">
        <v>44822</v>
      </c>
      <c r="B81">
        <v>8</v>
      </c>
    </row>
    <row r="82" spans="1:2" x14ac:dyDescent="0.25">
      <c r="A82" s="1">
        <v>44823</v>
      </c>
      <c r="B82">
        <v>7</v>
      </c>
    </row>
    <row r="83" spans="1:2" x14ac:dyDescent="0.25">
      <c r="A83" s="1">
        <v>44824</v>
      </c>
      <c r="B83">
        <v>4</v>
      </c>
    </row>
    <row r="84" spans="1:2" x14ac:dyDescent="0.25">
      <c r="A84" s="1">
        <v>44825</v>
      </c>
      <c r="B84">
        <v>9</v>
      </c>
    </row>
    <row r="85" spans="1:2" x14ac:dyDescent="0.25">
      <c r="A85" s="1">
        <v>44826</v>
      </c>
      <c r="B85">
        <v>9</v>
      </c>
    </row>
    <row r="86" spans="1:2" x14ac:dyDescent="0.25">
      <c r="A86" s="1">
        <v>44827</v>
      </c>
      <c r="B86">
        <v>7</v>
      </c>
    </row>
    <row r="87" spans="1:2" x14ac:dyDescent="0.25">
      <c r="A87" s="1">
        <v>44828</v>
      </c>
      <c r="B87">
        <v>11</v>
      </c>
    </row>
    <row r="88" spans="1:2" x14ac:dyDescent="0.25">
      <c r="A88" s="1">
        <v>44829</v>
      </c>
      <c r="B88">
        <v>6</v>
      </c>
    </row>
    <row r="89" spans="1:2" x14ac:dyDescent="0.25">
      <c r="A89" s="1">
        <v>44830</v>
      </c>
      <c r="B89">
        <v>7</v>
      </c>
    </row>
    <row r="90" spans="1:2" x14ac:dyDescent="0.25">
      <c r="A90" s="1">
        <v>44831</v>
      </c>
      <c r="B90">
        <v>8</v>
      </c>
    </row>
    <row r="91" spans="1:2" x14ac:dyDescent="0.25">
      <c r="A91" s="1">
        <v>44832</v>
      </c>
      <c r="B91">
        <v>6</v>
      </c>
    </row>
    <row r="92" spans="1:2" x14ac:dyDescent="0.25">
      <c r="A92" s="1">
        <v>44833</v>
      </c>
      <c r="B92">
        <v>11</v>
      </c>
    </row>
    <row r="93" spans="1:2" x14ac:dyDescent="0.25">
      <c r="A93" s="1">
        <v>44834</v>
      </c>
      <c r="B93">
        <v>6</v>
      </c>
    </row>
    <row r="94" spans="1:2" x14ac:dyDescent="0.25">
      <c r="A94" s="1">
        <v>44835</v>
      </c>
      <c r="B94">
        <v>18</v>
      </c>
    </row>
    <row r="95" spans="1:2" x14ac:dyDescent="0.25">
      <c r="A95" s="1">
        <v>44836</v>
      </c>
      <c r="B95">
        <v>5</v>
      </c>
    </row>
    <row r="96" spans="1:2" x14ac:dyDescent="0.25">
      <c r="A96" s="1">
        <v>44837</v>
      </c>
      <c r="B96">
        <v>9</v>
      </c>
    </row>
    <row r="97" spans="1:2" x14ac:dyDescent="0.25">
      <c r="A97" s="1">
        <v>44838</v>
      </c>
      <c r="B97">
        <v>6</v>
      </c>
    </row>
    <row r="98" spans="1:2" x14ac:dyDescent="0.25">
      <c r="A98" s="1">
        <v>44839</v>
      </c>
      <c r="B98">
        <v>5</v>
      </c>
    </row>
    <row r="99" spans="1:2" x14ac:dyDescent="0.25">
      <c r="A99" s="1">
        <v>44840</v>
      </c>
      <c r="B99">
        <v>9</v>
      </c>
    </row>
    <row r="100" spans="1:2" x14ac:dyDescent="0.25">
      <c r="A100" s="1">
        <v>44841</v>
      </c>
      <c r="B100">
        <v>7</v>
      </c>
    </row>
    <row r="101" spans="1:2" x14ac:dyDescent="0.25">
      <c r="A101" s="1">
        <v>44842</v>
      </c>
      <c r="B101">
        <v>4</v>
      </c>
    </row>
    <row r="102" spans="1:2" x14ac:dyDescent="0.25">
      <c r="A102" s="1">
        <v>44843</v>
      </c>
      <c r="B102">
        <v>4</v>
      </c>
    </row>
    <row r="103" spans="1:2" x14ac:dyDescent="0.25">
      <c r="A103" s="1">
        <v>44844</v>
      </c>
      <c r="B103">
        <v>7</v>
      </c>
    </row>
    <row r="104" spans="1:2" x14ac:dyDescent="0.25">
      <c r="A104" s="1">
        <v>44845</v>
      </c>
      <c r="B104">
        <v>7</v>
      </c>
    </row>
    <row r="105" spans="1:2" x14ac:dyDescent="0.25">
      <c r="A105" s="1">
        <v>44846</v>
      </c>
      <c r="B105">
        <v>14</v>
      </c>
    </row>
    <row r="106" spans="1:2" x14ac:dyDescent="0.25">
      <c r="A106" s="1">
        <v>44847</v>
      </c>
      <c r="B106">
        <v>11</v>
      </c>
    </row>
    <row r="107" spans="1:2" x14ac:dyDescent="0.25">
      <c r="A107" s="1">
        <v>44848</v>
      </c>
      <c r="B107">
        <v>8</v>
      </c>
    </row>
    <row r="108" spans="1:2" x14ac:dyDescent="0.25">
      <c r="A108" s="1">
        <v>44849</v>
      </c>
      <c r="B108">
        <v>6</v>
      </c>
    </row>
    <row r="109" spans="1:2" x14ac:dyDescent="0.25">
      <c r="A109" s="1">
        <v>44850</v>
      </c>
      <c r="B109">
        <v>11</v>
      </c>
    </row>
    <row r="110" spans="1:2" x14ac:dyDescent="0.25">
      <c r="A110" s="1">
        <v>44851</v>
      </c>
      <c r="B110">
        <v>8</v>
      </c>
    </row>
    <row r="111" spans="1:2" x14ac:dyDescent="0.25">
      <c r="A111" s="1">
        <v>44852</v>
      </c>
      <c r="B111">
        <v>10</v>
      </c>
    </row>
    <row r="112" spans="1:2" x14ac:dyDescent="0.25">
      <c r="A112" s="1">
        <v>44853</v>
      </c>
      <c r="B112">
        <v>8</v>
      </c>
    </row>
    <row r="113" spans="1:2" x14ac:dyDescent="0.25">
      <c r="A113" s="1">
        <v>44854</v>
      </c>
      <c r="B113">
        <v>13</v>
      </c>
    </row>
    <row r="114" spans="1:2" x14ac:dyDescent="0.25">
      <c r="A114" s="1">
        <v>44855</v>
      </c>
      <c r="B114">
        <v>8</v>
      </c>
    </row>
    <row r="115" spans="1:2" x14ac:dyDescent="0.25">
      <c r="A115" s="1">
        <v>44856</v>
      </c>
      <c r="B115">
        <v>3</v>
      </c>
    </row>
    <row r="116" spans="1:2" x14ac:dyDescent="0.25">
      <c r="A116" s="1">
        <v>44857</v>
      </c>
      <c r="B116">
        <v>7</v>
      </c>
    </row>
    <row r="117" spans="1:2" x14ac:dyDescent="0.25">
      <c r="A117" s="1">
        <v>44858</v>
      </c>
      <c r="B117">
        <v>11</v>
      </c>
    </row>
    <row r="118" spans="1:2" x14ac:dyDescent="0.25">
      <c r="A118" s="1">
        <v>44859</v>
      </c>
      <c r="B118">
        <v>11</v>
      </c>
    </row>
    <row r="119" spans="1:2" x14ac:dyDescent="0.25">
      <c r="A119" s="1">
        <v>44860</v>
      </c>
      <c r="B119">
        <v>6</v>
      </c>
    </row>
    <row r="120" spans="1:2" x14ac:dyDescent="0.25">
      <c r="A120" s="1">
        <v>44861</v>
      </c>
      <c r="B120">
        <v>11</v>
      </c>
    </row>
    <row r="121" spans="1:2" x14ac:dyDescent="0.25">
      <c r="A121" s="1">
        <v>44862</v>
      </c>
      <c r="B121">
        <v>13</v>
      </c>
    </row>
    <row r="122" spans="1:2" x14ac:dyDescent="0.25">
      <c r="A122" s="1">
        <v>44863</v>
      </c>
      <c r="B122">
        <v>7</v>
      </c>
    </row>
    <row r="123" spans="1:2" x14ac:dyDescent="0.25">
      <c r="A123" s="1">
        <v>44864</v>
      </c>
      <c r="B123">
        <v>7</v>
      </c>
    </row>
    <row r="124" spans="1:2" x14ac:dyDescent="0.25">
      <c r="A124" s="1">
        <v>44865</v>
      </c>
      <c r="B124">
        <v>9</v>
      </c>
    </row>
    <row r="125" spans="1:2" x14ac:dyDescent="0.25">
      <c r="A125" s="1">
        <v>44866</v>
      </c>
      <c r="B125">
        <v>7</v>
      </c>
    </row>
    <row r="126" spans="1:2" x14ac:dyDescent="0.25">
      <c r="A126" s="1">
        <v>44867</v>
      </c>
      <c r="B126">
        <v>6</v>
      </c>
    </row>
    <row r="127" spans="1:2" x14ac:dyDescent="0.25">
      <c r="A127" s="1">
        <v>44868</v>
      </c>
      <c r="B127">
        <v>9</v>
      </c>
    </row>
    <row r="128" spans="1:2" x14ac:dyDescent="0.25">
      <c r="A128" s="1">
        <v>44869</v>
      </c>
      <c r="B128">
        <v>9</v>
      </c>
    </row>
    <row r="129" spans="1:2" x14ac:dyDescent="0.25">
      <c r="A129" s="1">
        <v>44870</v>
      </c>
      <c r="B129">
        <v>6</v>
      </c>
    </row>
    <row r="130" spans="1:2" x14ac:dyDescent="0.25">
      <c r="A130" s="1">
        <v>44871</v>
      </c>
      <c r="B130">
        <v>13</v>
      </c>
    </row>
    <row r="131" spans="1:2" x14ac:dyDescent="0.25">
      <c r="A131" s="1">
        <v>44872</v>
      </c>
      <c r="B131">
        <v>13</v>
      </c>
    </row>
    <row r="132" spans="1:2" x14ac:dyDescent="0.25">
      <c r="A132" s="1">
        <v>44873</v>
      </c>
      <c r="B132">
        <v>7</v>
      </c>
    </row>
    <row r="133" spans="1:2" x14ac:dyDescent="0.25">
      <c r="A133" s="1">
        <v>44874</v>
      </c>
      <c r="B133">
        <v>7</v>
      </c>
    </row>
    <row r="134" spans="1:2" x14ac:dyDescent="0.25">
      <c r="A134" s="1">
        <v>44875</v>
      </c>
      <c r="B134">
        <v>8</v>
      </c>
    </row>
    <row r="135" spans="1:2" x14ac:dyDescent="0.25">
      <c r="A135" s="1">
        <v>44876</v>
      </c>
      <c r="B135">
        <v>13</v>
      </c>
    </row>
    <row r="136" spans="1:2" x14ac:dyDescent="0.25">
      <c r="A136" s="1">
        <v>44877</v>
      </c>
      <c r="B136">
        <v>10</v>
      </c>
    </row>
    <row r="137" spans="1:2" x14ac:dyDescent="0.25">
      <c r="A137" s="1">
        <v>44878</v>
      </c>
      <c r="B137">
        <v>11</v>
      </c>
    </row>
    <row r="138" spans="1:2" x14ac:dyDescent="0.25">
      <c r="A138" s="1">
        <v>44879</v>
      </c>
      <c r="B138">
        <v>10</v>
      </c>
    </row>
    <row r="139" spans="1:2" x14ac:dyDescent="0.25">
      <c r="A139" s="1">
        <v>44880</v>
      </c>
      <c r="B139">
        <v>9</v>
      </c>
    </row>
    <row r="140" spans="1:2" x14ac:dyDescent="0.25">
      <c r="A140" s="1">
        <v>44881</v>
      </c>
      <c r="B140">
        <v>10</v>
      </c>
    </row>
    <row r="141" spans="1:2" x14ac:dyDescent="0.25">
      <c r="A141" s="1">
        <v>44882</v>
      </c>
      <c r="B141">
        <v>6</v>
      </c>
    </row>
    <row r="142" spans="1:2" x14ac:dyDescent="0.25">
      <c r="A142" s="1">
        <v>44883</v>
      </c>
      <c r="B142">
        <v>12</v>
      </c>
    </row>
    <row r="143" spans="1:2" x14ac:dyDescent="0.25">
      <c r="A143" s="1">
        <v>44884</v>
      </c>
      <c r="B143">
        <v>4</v>
      </c>
    </row>
    <row r="144" spans="1:2" x14ac:dyDescent="0.25">
      <c r="A144" s="1">
        <v>44885</v>
      </c>
      <c r="B144">
        <v>9</v>
      </c>
    </row>
    <row r="145" spans="1:2" x14ac:dyDescent="0.25">
      <c r="A145" s="1">
        <v>44886</v>
      </c>
      <c r="B145">
        <v>6</v>
      </c>
    </row>
    <row r="146" spans="1:2" x14ac:dyDescent="0.25">
      <c r="A146" s="1">
        <v>44887</v>
      </c>
      <c r="B146">
        <v>9</v>
      </c>
    </row>
    <row r="147" spans="1:2" x14ac:dyDescent="0.25">
      <c r="A147" s="1">
        <v>44888</v>
      </c>
      <c r="B147">
        <v>4</v>
      </c>
    </row>
    <row r="148" spans="1:2" x14ac:dyDescent="0.25">
      <c r="A148" s="1">
        <v>44889</v>
      </c>
      <c r="B148">
        <v>9</v>
      </c>
    </row>
    <row r="149" spans="1:2" x14ac:dyDescent="0.25">
      <c r="A149" s="1">
        <v>44890</v>
      </c>
      <c r="B149">
        <v>7</v>
      </c>
    </row>
    <row r="150" spans="1:2" x14ac:dyDescent="0.25">
      <c r="A150" s="1">
        <v>44891</v>
      </c>
      <c r="B150">
        <v>10</v>
      </c>
    </row>
    <row r="151" spans="1:2" x14ac:dyDescent="0.25">
      <c r="A151" s="1">
        <v>44892</v>
      </c>
      <c r="B151">
        <v>8</v>
      </c>
    </row>
    <row r="152" spans="1:2" x14ac:dyDescent="0.25">
      <c r="A152" s="1">
        <v>44893</v>
      </c>
      <c r="B152">
        <v>3</v>
      </c>
    </row>
    <row r="153" spans="1:2" x14ac:dyDescent="0.25">
      <c r="A153" s="1">
        <v>44894</v>
      </c>
      <c r="B153">
        <v>13</v>
      </c>
    </row>
    <row r="154" spans="1:2" x14ac:dyDescent="0.25">
      <c r="A154" s="1">
        <v>44895</v>
      </c>
      <c r="B154">
        <v>7</v>
      </c>
    </row>
    <row r="155" spans="1:2" x14ac:dyDescent="0.25">
      <c r="A155" s="1">
        <v>44896</v>
      </c>
      <c r="B155">
        <v>13</v>
      </c>
    </row>
    <row r="156" spans="1:2" x14ac:dyDescent="0.25">
      <c r="A156" s="1">
        <v>44897</v>
      </c>
      <c r="B156">
        <v>7</v>
      </c>
    </row>
    <row r="157" spans="1:2" x14ac:dyDescent="0.25">
      <c r="A157" s="1">
        <v>44898</v>
      </c>
      <c r="B157">
        <v>13</v>
      </c>
    </row>
    <row r="158" spans="1:2" x14ac:dyDescent="0.25">
      <c r="A158" s="1">
        <v>44899</v>
      </c>
      <c r="B158">
        <v>7</v>
      </c>
    </row>
    <row r="159" spans="1:2" x14ac:dyDescent="0.25">
      <c r="A159" s="1">
        <v>44900</v>
      </c>
      <c r="B159">
        <v>6</v>
      </c>
    </row>
    <row r="160" spans="1:2" x14ac:dyDescent="0.25">
      <c r="A160" s="1">
        <v>44901</v>
      </c>
      <c r="B160">
        <v>4</v>
      </c>
    </row>
    <row r="161" spans="1:2" x14ac:dyDescent="0.25">
      <c r="A161" s="1">
        <v>44902</v>
      </c>
      <c r="B161">
        <v>9</v>
      </c>
    </row>
    <row r="162" spans="1:2" x14ac:dyDescent="0.25">
      <c r="A162" s="1">
        <v>44903</v>
      </c>
      <c r="B162">
        <v>7</v>
      </c>
    </row>
    <row r="163" spans="1:2" x14ac:dyDescent="0.25">
      <c r="A163" s="1">
        <v>44904</v>
      </c>
      <c r="B163">
        <v>10</v>
      </c>
    </row>
    <row r="164" spans="1:2" x14ac:dyDescent="0.25">
      <c r="A164" s="1">
        <v>44905</v>
      </c>
      <c r="B164">
        <v>14</v>
      </c>
    </row>
    <row r="165" spans="1:2" x14ac:dyDescent="0.25">
      <c r="A165" s="1">
        <v>44906</v>
      </c>
      <c r="B165">
        <v>6</v>
      </c>
    </row>
    <row r="166" spans="1:2" x14ac:dyDescent="0.25">
      <c r="A166" s="1">
        <v>44907</v>
      </c>
      <c r="B166">
        <v>4</v>
      </c>
    </row>
    <row r="167" spans="1:2" x14ac:dyDescent="0.25">
      <c r="A167" s="1">
        <v>44908</v>
      </c>
      <c r="B167">
        <v>4</v>
      </c>
    </row>
    <row r="168" spans="1:2" x14ac:dyDescent="0.25">
      <c r="A168" s="1">
        <v>44909</v>
      </c>
      <c r="B168">
        <v>4</v>
      </c>
    </row>
    <row r="169" spans="1:2" x14ac:dyDescent="0.25">
      <c r="A169" s="1">
        <v>44910</v>
      </c>
      <c r="B169">
        <v>6</v>
      </c>
    </row>
    <row r="170" spans="1:2" x14ac:dyDescent="0.25">
      <c r="A170" s="1">
        <v>44911</v>
      </c>
      <c r="B170">
        <v>6</v>
      </c>
    </row>
    <row r="171" spans="1:2" x14ac:dyDescent="0.25">
      <c r="A171" s="1">
        <v>44912</v>
      </c>
      <c r="B171">
        <v>6</v>
      </c>
    </row>
    <row r="172" spans="1:2" x14ac:dyDescent="0.25">
      <c r="A172" s="1">
        <v>44913</v>
      </c>
      <c r="B172">
        <v>9</v>
      </c>
    </row>
    <row r="173" spans="1:2" x14ac:dyDescent="0.25">
      <c r="A173" s="1">
        <v>44914</v>
      </c>
      <c r="B173">
        <v>9</v>
      </c>
    </row>
    <row r="174" spans="1:2" x14ac:dyDescent="0.25">
      <c r="A174" s="1">
        <v>44915</v>
      </c>
      <c r="B174">
        <v>10</v>
      </c>
    </row>
    <row r="175" spans="1:2" x14ac:dyDescent="0.25">
      <c r="A175" s="1">
        <v>44916</v>
      </c>
      <c r="B175">
        <v>6</v>
      </c>
    </row>
    <row r="176" spans="1:2" x14ac:dyDescent="0.25">
      <c r="A176" s="1">
        <v>44917</v>
      </c>
      <c r="B176">
        <v>6</v>
      </c>
    </row>
    <row r="177" spans="1:2" x14ac:dyDescent="0.25">
      <c r="A177" s="1">
        <v>44918</v>
      </c>
      <c r="B177">
        <v>7</v>
      </c>
    </row>
    <row r="178" spans="1:2" x14ac:dyDescent="0.25">
      <c r="A178" s="1">
        <v>44919</v>
      </c>
      <c r="B178">
        <v>11</v>
      </c>
    </row>
    <row r="179" spans="1:2" x14ac:dyDescent="0.25">
      <c r="A179" s="1">
        <v>44920</v>
      </c>
      <c r="B179">
        <v>9</v>
      </c>
    </row>
    <row r="180" spans="1:2" x14ac:dyDescent="0.25">
      <c r="A180" s="1">
        <v>44921</v>
      </c>
      <c r="B180">
        <v>11</v>
      </c>
    </row>
    <row r="181" spans="1:2" x14ac:dyDescent="0.25">
      <c r="A181" s="1">
        <v>44922</v>
      </c>
      <c r="B181">
        <v>11</v>
      </c>
    </row>
    <row r="182" spans="1:2" x14ac:dyDescent="0.25">
      <c r="A182" s="1">
        <v>44923</v>
      </c>
      <c r="B182">
        <v>9</v>
      </c>
    </row>
    <row r="183" spans="1:2" x14ac:dyDescent="0.25">
      <c r="A183" s="1">
        <v>44924</v>
      </c>
      <c r="B183">
        <v>10</v>
      </c>
    </row>
    <row r="184" spans="1:2" x14ac:dyDescent="0.25">
      <c r="A184" s="1">
        <v>44925</v>
      </c>
      <c r="B184">
        <v>5</v>
      </c>
    </row>
    <row r="185" spans="1:2" x14ac:dyDescent="0.25">
      <c r="A185" s="1">
        <v>44926</v>
      </c>
      <c r="B185">
        <v>16</v>
      </c>
    </row>
    <row r="186" spans="1:2" x14ac:dyDescent="0.25">
      <c r="A186" s="1">
        <v>44927</v>
      </c>
      <c r="B186">
        <v>13</v>
      </c>
    </row>
    <row r="187" spans="1:2" x14ac:dyDescent="0.25">
      <c r="A187" s="1">
        <v>44928</v>
      </c>
      <c r="B187">
        <v>19</v>
      </c>
    </row>
    <row r="188" spans="1:2" x14ac:dyDescent="0.25">
      <c r="A188" s="1">
        <v>44929</v>
      </c>
      <c r="B188">
        <v>17</v>
      </c>
    </row>
    <row r="189" spans="1:2" x14ac:dyDescent="0.25">
      <c r="A189" s="1">
        <v>44930</v>
      </c>
      <c r="B189">
        <v>11</v>
      </c>
    </row>
    <row r="190" spans="1:2" x14ac:dyDescent="0.25">
      <c r="A190" s="1">
        <v>44931</v>
      </c>
      <c r="B190">
        <v>18</v>
      </c>
    </row>
    <row r="191" spans="1:2" x14ac:dyDescent="0.25">
      <c r="A191" s="1">
        <v>44932</v>
      </c>
      <c r="B191">
        <v>15</v>
      </c>
    </row>
    <row r="192" spans="1:2" x14ac:dyDescent="0.25">
      <c r="A192" s="1">
        <v>44933</v>
      </c>
      <c r="B192">
        <v>15</v>
      </c>
    </row>
    <row r="193" spans="1:2" x14ac:dyDescent="0.25">
      <c r="A193" s="1">
        <v>44934</v>
      </c>
      <c r="B193">
        <v>12</v>
      </c>
    </row>
    <row r="194" spans="1:2" x14ac:dyDescent="0.25">
      <c r="A194" s="1">
        <v>44935</v>
      </c>
      <c r="B194">
        <v>15</v>
      </c>
    </row>
    <row r="195" spans="1:2" x14ac:dyDescent="0.25">
      <c r="A195" s="1">
        <v>44936</v>
      </c>
      <c r="B195">
        <v>15</v>
      </c>
    </row>
    <row r="196" spans="1:2" x14ac:dyDescent="0.25">
      <c r="A196" s="1">
        <v>44937</v>
      </c>
      <c r="B196">
        <v>17</v>
      </c>
    </row>
    <row r="197" spans="1:2" x14ac:dyDescent="0.25">
      <c r="A197" s="1">
        <v>44938</v>
      </c>
      <c r="B197">
        <v>17</v>
      </c>
    </row>
    <row r="198" spans="1:2" x14ac:dyDescent="0.25">
      <c r="A198" s="1">
        <v>44939</v>
      </c>
      <c r="B198">
        <v>11</v>
      </c>
    </row>
    <row r="199" spans="1:2" x14ac:dyDescent="0.25">
      <c r="A199" s="1">
        <v>44940</v>
      </c>
      <c r="B199">
        <v>8</v>
      </c>
    </row>
    <row r="200" spans="1:2" x14ac:dyDescent="0.25">
      <c r="A200" s="1">
        <v>44941</v>
      </c>
      <c r="B200">
        <v>11</v>
      </c>
    </row>
    <row r="201" spans="1:2" x14ac:dyDescent="0.25">
      <c r="A201" s="1">
        <v>44942</v>
      </c>
      <c r="B201">
        <v>13</v>
      </c>
    </row>
    <row r="202" spans="1:2" x14ac:dyDescent="0.25">
      <c r="A202" s="1">
        <v>44943</v>
      </c>
      <c r="B202">
        <v>14</v>
      </c>
    </row>
    <row r="203" spans="1:2" x14ac:dyDescent="0.25">
      <c r="A203" s="1">
        <v>44944</v>
      </c>
      <c r="B203">
        <v>12</v>
      </c>
    </row>
    <row r="204" spans="1:2" x14ac:dyDescent="0.25">
      <c r="A204" s="1">
        <v>44945</v>
      </c>
      <c r="B204">
        <v>11</v>
      </c>
    </row>
    <row r="205" spans="1:2" x14ac:dyDescent="0.25">
      <c r="A205" s="1">
        <v>44946</v>
      </c>
      <c r="B205">
        <v>12</v>
      </c>
    </row>
    <row r="206" spans="1:2" x14ac:dyDescent="0.25">
      <c r="A206" s="1">
        <v>44947</v>
      </c>
      <c r="B206">
        <v>6</v>
      </c>
    </row>
    <row r="207" spans="1:2" x14ac:dyDescent="0.25">
      <c r="A207" s="1">
        <v>44948</v>
      </c>
      <c r="B207">
        <v>9</v>
      </c>
    </row>
    <row r="208" spans="1:2" x14ac:dyDescent="0.25">
      <c r="A208" s="1">
        <v>44949</v>
      </c>
      <c r="B208">
        <v>14</v>
      </c>
    </row>
    <row r="209" spans="1:2" x14ac:dyDescent="0.25">
      <c r="A209" s="1">
        <v>44950</v>
      </c>
      <c r="B209">
        <v>18</v>
      </c>
    </row>
    <row r="210" spans="1:2" x14ac:dyDescent="0.25">
      <c r="A210" s="1">
        <v>44951</v>
      </c>
      <c r="B210">
        <v>13</v>
      </c>
    </row>
    <row r="211" spans="1:2" x14ac:dyDescent="0.25">
      <c r="A211" s="1">
        <v>44952</v>
      </c>
      <c r="B211">
        <v>13</v>
      </c>
    </row>
    <row r="212" spans="1:2" x14ac:dyDescent="0.25">
      <c r="A212" s="1">
        <v>44953</v>
      </c>
      <c r="B212">
        <v>14</v>
      </c>
    </row>
    <row r="213" spans="1:2" x14ac:dyDescent="0.25">
      <c r="A213" s="1">
        <v>44954</v>
      </c>
      <c r="B213">
        <v>11</v>
      </c>
    </row>
    <row r="214" spans="1:2" x14ac:dyDescent="0.25">
      <c r="A214" s="1">
        <v>44955</v>
      </c>
      <c r="B214">
        <v>12</v>
      </c>
    </row>
    <row r="215" spans="1:2" x14ac:dyDescent="0.25">
      <c r="A215" s="1">
        <v>44956</v>
      </c>
      <c r="B215">
        <v>16</v>
      </c>
    </row>
    <row r="216" spans="1:2" x14ac:dyDescent="0.25">
      <c r="A216" s="1">
        <v>44957</v>
      </c>
      <c r="B216">
        <v>13</v>
      </c>
    </row>
    <row r="217" spans="1:2" x14ac:dyDescent="0.25">
      <c r="A217" s="1">
        <v>44958</v>
      </c>
      <c r="B217">
        <v>16</v>
      </c>
    </row>
    <row r="218" spans="1:2" x14ac:dyDescent="0.25">
      <c r="A218" s="1">
        <v>44959</v>
      </c>
      <c r="B218">
        <v>15</v>
      </c>
    </row>
    <row r="219" spans="1:2" x14ac:dyDescent="0.25">
      <c r="A219" s="1">
        <v>44960</v>
      </c>
      <c r="B219">
        <v>12</v>
      </c>
    </row>
    <row r="220" spans="1:2" x14ac:dyDescent="0.25">
      <c r="A220" s="1">
        <v>44961</v>
      </c>
      <c r="B220">
        <v>11</v>
      </c>
    </row>
    <row r="221" spans="1:2" x14ac:dyDescent="0.25">
      <c r="A221" s="1">
        <v>44962</v>
      </c>
      <c r="B221">
        <v>8</v>
      </c>
    </row>
    <row r="222" spans="1:2" x14ac:dyDescent="0.25">
      <c r="A222" s="1">
        <v>44963</v>
      </c>
      <c r="B222">
        <v>11</v>
      </c>
    </row>
    <row r="223" spans="1:2" x14ac:dyDescent="0.25">
      <c r="A223" s="1">
        <v>44964</v>
      </c>
      <c r="B223">
        <v>17</v>
      </c>
    </row>
    <row r="224" spans="1:2" x14ac:dyDescent="0.25">
      <c r="A224" s="1">
        <v>44965</v>
      </c>
      <c r="B224">
        <v>15</v>
      </c>
    </row>
    <row r="225" spans="1:2" x14ac:dyDescent="0.25">
      <c r="A225" s="1">
        <v>44966</v>
      </c>
      <c r="B225">
        <v>12</v>
      </c>
    </row>
    <row r="226" spans="1:2" x14ac:dyDescent="0.25">
      <c r="A226" s="1">
        <v>44967</v>
      </c>
      <c r="B226">
        <v>10</v>
      </c>
    </row>
    <row r="227" spans="1:2" x14ac:dyDescent="0.25">
      <c r="A227" s="1">
        <v>44968</v>
      </c>
      <c r="B227">
        <v>15</v>
      </c>
    </row>
    <row r="228" spans="1:2" x14ac:dyDescent="0.25">
      <c r="A228" s="1">
        <v>44969</v>
      </c>
      <c r="B228">
        <v>6</v>
      </c>
    </row>
    <row r="229" spans="1:2" x14ac:dyDescent="0.25">
      <c r="A229" s="1">
        <v>44970</v>
      </c>
      <c r="B229">
        <v>14</v>
      </c>
    </row>
    <row r="230" spans="1:2" x14ac:dyDescent="0.25">
      <c r="A230" s="1">
        <v>44971</v>
      </c>
      <c r="B230">
        <v>10</v>
      </c>
    </row>
    <row r="231" spans="1:2" x14ac:dyDescent="0.25">
      <c r="A231" s="1">
        <v>44972</v>
      </c>
      <c r="B231">
        <v>12</v>
      </c>
    </row>
    <row r="232" spans="1:2" x14ac:dyDescent="0.25">
      <c r="A232" s="1">
        <v>44973</v>
      </c>
      <c r="B232">
        <v>15</v>
      </c>
    </row>
    <row r="233" spans="1:2" x14ac:dyDescent="0.25">
      <c r="A233" s="1">
        <v>44974</v>
      </c>
      <c r="B233">
        <v>11</v>
      </c>
    </row>
    <row r="234" spans="1:2" x14ac:dyDescent="0.25">
      <c r="A234" s="1">
        <v>44975</v>
      </c>
      <c r="B234">
        <v>10</v>
      </c>
    </row>
    <row r="235" spans="1:2" x14ac:dyDescent="0.25">
      <c r="A235" s="1">
        <v>44976</v>
      </c>
      <c r="B235">
        <v>14</v>
      </c>
    </row>
    <row r="236" spans="1:2" x14ac:dyDescent="0.25">
      <c r="A236" s="1">
        <v>44977</v>
      </c>
      <c r="B236">
        <v>39</v>
      </c>
    </row>
    <row r="237" spans="1:2" x14ac:dyDescent="0.25">
      <c r="A237" s="1">
        <v>44978</v>
      </c>
      <c r="B237">
        <v>23</v>
      </c>
    </row>
    <row r="238" spans="1:2" x14ac:dyDescent="0.25">
      <c r="A238" s="1">
        <v>44979</v>
      </c>
      <c r="B238">
        <v>21</v>
      </c>
    </row>
    <row r="239" spans="1:2" x14ac:dyDescent="0.25">
      <c r="A239" s="1">
        <v>44980</v>
      </c>
      <c r="B239">
        <v>19</v>
      </c>
    </row>
    <row r="240" spans="1:2" x14ac:dyDescent="0.25">
      <c r="A240" s="1">
        <v>44981</v>
      </c>
      <c r="B240">
        <v>23</v>
      </c>
    </row>
    <row r="241" spans="1:2" x14ac:dyDescent="0.25">
      <c r="A241" s="1">
        <v>44982</v>
      </c>
      <c r="B241">
        <v>21</v>
      </c>
    </row>
    <row r="242" spans="1:2" x14ac:dyDescent="0.25">
      <c r="A242" s="1">
        <v>44983</v>
      </c>
      <c r="B242">
        <v>29</v>
      </c>
    </row>
    <row r="243" spans="1:2" x14ac:dyDescent="0.25">
      <c r="A243" s="1">
        <v>44984</v>
      </c>
      <c r="B243">
        <v>24</v>
      </c>
    </row>
    <row r="244" spans="1:2" x14ac:dyDescent="0.25">
      <c r="A244" s="1">
        <v>44985</v>
      </c>
      <c r="B244">
        <v>25</v>
      </c>
    </row>
    <row r="245" spans="1:2" x14ac:dyDescent="0.25">
      <c r="A245" s="1">
        <v>44986</v>
      </c>
      <c r="B245">
        <v>26</v>
      </c>
    </row>
    <row r="246" spans="1:2" x14ac:dyDescent="0.25">
      <c r="A246" s="1">
        <v>44987</v>
      </c>
      <c r="B246">
        <v>27</v>
      </c>
    </row>
    <row r="247" spans="1:2" x14ac:dyDescent="0.25">
      <c r="A247" s="1">
        <v>44988</v>
      </c>
      <c r="B247">
        <v>18</v>
      </c>
    </row>
    <row r="248" spans="1:2" x14ac:dyDescent="0.25">
      <c r="A248" s="1">
        <v>44989</v>
      </c>
      <c r="B248">
        <v>25</v>
      </c>
    </row>
    <row r="249" spans="1:2" x14ac:dyDescent="0.25">
      <c r="A249" s="1">
        <v>44990</v>
      </c>
      <c r="B249">
        <v>27</v>
      </c>
    </row>
    <row r="250" spans="1:2" x14ac:dyDescent="0.25">
      <c r="A250" s="1">
        <v>44991</v>
      </c>
      <c r="B250">
        <v>17</v>
      </c>
    </row>
    <row r="251" spans="1:2" x14ac:dyDescent="0.25">
      <c r="A251" s="1">
        <v>44992</v>
      </c>
      <c r="B251">
        <v>25</v>
      </c>
    </row>
    <row r="252" spans="1:2" x14ac:dyDescent="0.25">
      <c r="A252" s="1">
        <v>44993</v>
      </c>
      <c r="B252">
        <v>23</v>
      </c>
    </row>
    <row r="253" spans="1:2" x14ac:dyDescent="0.25">
      <c r="A253" s="1">
        <v>44994</v>
      </c>
      <c r="B253">
        <v>25</v>
      </c>
    </row>
    <row r="254" spans="1:2" x14ac:dyDescent="0.25">
      <c r="A254" s="1">
        <v>44995</v>
      </c>
      <c r="B254">
        <v>21</v>
      </c>
    </row>
    <row r="255" spans="1:2" x14ac:dyDescent="0.25">
      <c r="A255" s="1">
        <v>44996</v>
      </c>
      <c r="B255">
        <v>29</v>
      </c>
    </row>
    <row r="256" spans="1:2" x14ac:dyDescent="0.25">
      <c r="A256" s="1">
        <v>44997</v>
      </c>
      <c r="B256">
        <v>25</v>
      </c>
    </row>
    <row r="257" spans="1:2" x14ac:dyDescent="0.25">
      <c r="A257" s="1">
        <v>44998</v>
      </c>
      <c r="B257">
        <v>18</v>
      </c>
    </row>
    <row r="258" spans="1:2" x14ac:dyDescent="0.25">
      <c r="A258" s="1">
        <v>44999</v>
      </c>
      <c r="B258">
        <v>30</v>
      </c>
    </row>
    <row r="259" spans="1:2" x14ac:dyDescent="0.25">
      <c r="A259" s="1">
        <v>45000</v>
      </c>
      <c r="B259">
        <v>26</v>
      </c>
    </row>
    <row r="260" spans="1:2" x14ac:dyDescent="0.25">
      <c r="A260" s="1">
        <v>45001</v>
      </c>
      <c r="B260">
        <v>20</v>
      </c>
    </row>
    <row r="261" spans="1:2" x14ac:dyDescent="0.25">
      <c r="A261" s="1">
        <v>45002</v>
      </c>
      <c r="B261">
        <v>22</v>
      </c>
    </row>
    <row r="262" spans="1:2" x14ac:dyDescent="0.25">
      <c r="A262" s="1">
        <v>45003</v>
      </c>
      <c r="B262">
        <v>22</v>
      </c>
    </row>
    <row r="263" spans="1:2" x14ac:dyDescent="0.25">
      <c r="A263" s="1">
        <v>45004</v>
      </c>
      <c r="B263">
        <v>26</v>
      </c>
    </row>
    <row r="264" spans="1:2" x14ac:dyDescent="0.25">
      <c r="A264" s="1">
        <v>45005</v>
      </c>
      <c r="B264">
        <v>17</v>
      </c>
    </row>
    <row r="265" spans="1:2" x14ac:dyDescent="0.25">
      <c r="A265" s="1">
        <v>45006</v>
      </c>
      <c r="B265">
        <v>23</v>
      </c>
    </row>
    <row r="266" spans="1:2" x14ac:dyDescent="0.25">
      <c r="A266" s="1">
        <v>45007</v>
      </c>
      <c r="B266">
        <v>27</v>
      </c>
    </row>
    <row r="267" spans="1:2" x14ac:dyDescent="0.25">
      <c r="A267" s="1">
        <v>45008</v>
      </c>
      <c r="B267">
        <v>18</v>
      </c>
    </row>
    <row r="268" spans="1:2" x14ac:dyDescent="0.25">
      <c r="A268" s="1">
        <v>45009</v>
      </c>
      <c r="B268">
        <v>15</v>
      </c>
    </row>
    <row r="269" spans="1:2" x14ac:dyDescent="0.25">
      <c r="A269" s="1">
        <v>45010</v>
      </c>
      <c r="B269">
        <v>28</v>
      </c>
    </row>
    <row r="270" spans="1:2" x14ac:dyDescent="0.25">
      <c r="A270" s="1">
        <v>45011</v>
      </c>
      <c r="B270">
        <v>17</v>
      </c>
    </row>
    <row r="271" spans="1:2" x14ac:dyDescent="0.25">
      <c r="A271" s="1">
        <v>45012</v>
      </c>
      <c r="B271">
        <v>28</v>
      </c>
    </row>
    <row r="272" spans="1:2" x14ac:dyDescent="0.25">
      <c r="A272" s="1">
        <v>45013</v>
      </c>
      <c r="B272">
        <v>16</v>
      </c>
    </row>
    <row r="273" spans="1:2" x14ac:dyDescent="0.25">
      <c r="A273" s="1">
        <v>45014</v>
      </c>
      <c r="B273">
        <v>20</v>
      </c>
    </row>
    <row r="274" spans="1:2" x14ac:dyDescent="0.25">
      <c r="A274" s="1">
        <v>45015</v>
      </c>
      <c r="B274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74"/>
  <sheetViews>
    <sheetView tabSelected="1" topLeftCell="A31" zoomScale="70" zoomScaleNormal="70" workbookViewId="0">
      <selection activeCell="AI58" sqref="AI58"/>
    </sheetView>
  </sheetViews>
  <sheetFormatPr defaultRowHeight="15" x14ac:dyDescent="0.25"/>
  <cols>
    <col min="3" max="3" width="14.28515625" bestFit="1" customWidth="1"/>
    <col min="6" max="6" width="10.28515625" bestFit="1" customWidth="1"/>
    <col min="7" max="7" width="9.85546875" bestFit="1" customWidth="1"/>
    <col min="8" max="8" width="11.42578125" bestFit="1" customWidth="1"/>
  </cols>
  <sheetData>
    <row r="1" spans="1:12" x14ac:dyDescent="0.25">
      <c r="A1" t="s">
        <v>7</v>
      </c>
      <c r="B1" s="2" t="s">
        <v>2</v>
      </c>
      <c r="C1" s="2" t="s">
        <v>0</v>
      </c>
      <c r="D1" s="2" t="s">
        <v>4</v>
      </c>
      <c r="E1" s="2" t="s">
        <v>5</v>
      </c>
      <c r="F1" s="2" t="s">
        <v>6</v>
      </c>
      <c r="G1" s="3" t="s">
        <v>9</v>
      </c>
      <c r="H1" t="s">
        <v>10</v>
      </c>
    </row>
    <row r="2" spans="1:12" x14ac:dyDescent="0.25">
      <c r="A2">
        <f>MONTH(C2)</f>
        <v>7</v>
      </c>
      <c r="B2">
        <f>_xlfn.ISOWEEKNUM(C2)</f>
        <v>26</v>
      </c>
      <c r="C2" s="10">
        <v>44743</v>
      </c>
      <c r="D2">
        <v>7</v>
      </c>
      <c r="E2">
        <f>VLOOKUP(B2,WAU!A:C,3,)</f>
        <v>20</v>
      </c>
      <c r="F2">
        <f>VLOOKUP(A2,MAU!A:C,3,)</f>
        <v>259</v>
      </c>
      <c r="G2" s="4">
        <f t="shared" ref="G2:G65" si="0">D2/E2</f>
        <v>0.35</v>
      </c>
      <c r="H2" s="5">
        <f t="shared" ref="H2:H65" si="1">D2/F2</f>
        <v>2.7027027027027029E-2</v>
      </c>
    </row>
    <row r="3" spans="1:12" x14ac:dyDescent="0.25">
      <c r="A3">
        <f t="shared" ref="A3:A66" si="2">MONTH(C3)</f>
        <v>7</v>
      </c>
      <c r="B3">
        <f>_xlfn.ISOWEEKNUM(C3)</f>
        <v>26</v>
      </c>
      <c r="C3" s="10">
        <v>44744</v>
      </c>
      <c r="D3">
        <v>7</v>
      </c>
      <c r="E3">
        <f>VLOOKUP(B3,WAU!A:C,3,)</f>
        <v>20</v>
      </c>
      <c r="F3">
        <f>VLOOKUP(A3,MAU!A:C,3,)</f>
        <v>259</v>
      </c>
      <c r="G3" s="4">
        <f t="shared" si="0"/>
        <v>0.35</v>
      </c>
      <c r="H3" s="5">
        <f t="shared" si="1"/>
        <v>2.7027027027027029E-2</v>
      </c>
    </row>
    <row r="4" spans="1:12" x14ac:dyDescent="0.25">
      <c r="A4">
        <f t="shared" si="2"/>
        <v>7</v>
      </c>
      <c r="B4">
        <f>_xlfn.ISOWEEKNUM(C4)</f>
        <v>26</v>
      </c>
      <c r="C4" s="10">
        <v>44745</v>
      </c>
      <c r="D4">
        <v>6</v>
      </c>
      <c r="E4">
        <f>VLOOKUP(B4,WAU!A:C,3,)</f>
        <v>20</v>
      </c>
      <c r="F4">
        <f>VLOOKUP(A4,MAU!A:C,3,)</f>
        <v>259</v>
      </c>
      <c r="G4" s="4">
        <f t="shared" si="0"/>
        <v>0.3</v>
      </c>
      <c r="H4" s="5">
        <f t="shared" si="1"/>
        <v>2.3166023166023165E-2</v>
      </c>
    </row>
    <row r="5" spans="1:12" x14ac:dyDescent="0.25">
      <c r="A5">
        <f t="shared" si="2"/>
        <v>7</v>
      </c>
      <c r="B5">
        <f>_xlfn.ISOWEEKNUM(C5)</f>
        <v>27</v>
      </c>
      <c r="C5" s="10">
        <v>44746</v>
      </c>
      <c r="D5">
        <v>14</v>
      </c>
      <c r="E5">
        <f>VLOOKUP(B5,WAU!A:C,3,)</f>
        <v>67</v>
      </c>
      <c r="F5">
        <f>VLOOKUP(A5,MAU!A:C,3,)</f>
        <v>259</v>
      </c>
      <c r="G5" s="4">
        <f t="shared" si="0"/>
        <v>0.20895522388059701</v>
      </c>
      <c r="H5" s="5">
        <f t="shared" si="1"/>
        <v>5.4054054054054057E-2</v>
      </c>
    </row>
    <row r="6" spans="1:12" x14ac:dyDescent="0.25">
      <c r="A6">
        <f t="shared" si="2"/>
        <v>7</v>
      </c>
      <c r="B6">
        <f>_xlfn.ISOWEEKNUM(C6)</f>
        <v>27</v>
      </c>
      <c r="C6" s="10">
        <v>44747</v>
      </c>
      <c r="D6">
        <v>8</v>
      </c>
      <c r="E6">
        <f>VLOOKUP(B6,WAU!A:C,3,)</f>
        <v>67</v>
      </c>
      <c r="F6">
        <f>VLOOKUP(A6,MAU!A:C,3,)</f>
        <v>259</v>
      </c>
      <c r="G6" s="4">
        <f t="shared" si="0"/>
        <v>0.11940298507462686</v>
      </c>
      <c r="H6" s="5">
        <f t="shared" si="1"/>
        <v>3.0888030888030889E-2</v>
      </c>
    </row>
    <row r="7" spans="1:12" x14ac:dyDescent="0.25">
      <c r="A7">
        <f t="shared" si="2"/>
        <v>7</v>
      </c>
      <c r="B7">
        <f>_xlfn.ISOWEEKNUM(C7)</f>
        <v>27</v>
      </c>
      <c r="C7" s="10">
        <v>44748</v>
      </c>
      <c r="D7">
        <v>8</v>
      </c>
      <c r="E7">
        <f>VLOOKUP(B7,WAU!A:C,3,)</f>
        <v>67</v>
      </c>
      <c r="F7">
        <f>VLOOKUP(A7,MAU!A:C,3,)</f>
        <v>259</v>
      </c>
      <c r="G7" s="4">
        <f t="shared" si="0"/>
        <v>0.11940298507462686</v>
      </c>
      <c r="H7" s="5">
        <f t="shared" si="1"/>
        <v>3.0888030888030889E-2</v>
      </c>
    </row>
    <row r="8" spans="1:12" x14ac:dyDescent="0.25">
      <c r="A8">
        <f t="shared" si="2"/>
        <v>7</v>
      </c>
      <c r="B8">
        <f>_xlfn.ISOWEEKNUM(C8)</f>
        <v>27</v>
      </c>
      <c r="C8" s="10">
        <v>44749</v>
      </c>
      <c r="D8">
        <v>10</v>
      </c>
      <c r="E8">
        <f>VLOOKUP(B8,WAU!A:C,3,)</f>
        <v>67</v>
      </c>
      <c r="F8">
        <f>VLOOKUP(A8,MAU!A:C,3,)</f>
        <v>259</v>
      </c>
      <c r="G8" s="4">
        <f t="shared" si="0"/>
        <v>0.14925373134328357</v>
      </c>
      <c r="H8" s="5">
        <f t="shared" si="1"/>
        <v>3.8610038610038609E-2</v>
      </c>
    </row>
    <row r="9" spans="1:12" x14ac:dyDescent="0.25">
      <c r="A9">
        <f t="shared" si="2"/>
        <v>7</v>
      </c>
      <c r="B9">
        <f>_xlfn.ISOWEEKNUM(C9)</f>
        <v>27</v>
      </c>
      <c r="C9" s="10">
        <v>44750</v>
      </c>
      <c r="D9">
        <v>14</v>
      </c>
      <c r="E9">
        <f>VLOOKUP(B9,WAU!A:C,3,)</f>
        <v>67</v>
      </c>
      <c r="F9">
        <f>VLOOKUP(A9,MAU!A:C,3,)</f>
        <v>259</v>
      </c>
      <c r="G9" s="4">
        <f t="shared" si="0"/>
        <v>0.20895522388059701</v>
      </c>
      <c r="H9" s="5">
        <f t="shared" si="1"/>
        <v>5.4054054054054057E-2</v>
      </c>
    </row>
    <row r="10" spans="1:12" x14ac:dyDescent="0.25">
      <c r="A10">
        <f t="shared" si="2"/>
        <v>7</v>
      </c>
      <c r="B10">
        <f>_xlfn.ISOWEEKNUM(C10)</f>
        <v>27</v>
      </c>
      <c r="C10" s="10">
        <v>44751</v>
      </c>
      <c r="D10">
        <v>6</v>
      </c>
      <c r="E10">
        <f>VLOOKUP(B10,WAU!A:C,3,)</f>
        <v>67</v>
      </c>
      <c r="F10">
        <f>VLOOKUP(A10,MAU!A:C,3,)</f>
        <v>259</v>
      </c>
      <c r="G10" s="4">
        <f t="shared" si="0"/>
        <v>8.9552238805970144E-2</v>
      </c>
      <c r="H10" s="5">
        <f t="shared" si="1"/>
        <v>2.3166023166023165E-2</v>
      </c>
    </row>
    <row r="11" spans="1:12" x14ac:dyDescent="0.25">
      <c r="A11">
        <f t="shared" si="2"/>
        <v>7</v>
      </c>
      <c r="B11">
        <f>_xlfn.ISOWEEKNUM(C11)</f>
        <v>27</v>
      </c>
      <c r="C11" s="10">
        <v>44752</v>
      </c>
      <c r="D11">
        <v>7</v>
      </c>
      <c r="E11">
        <f>VLOOKUP(B11,WAU!A:C,3,)</f>
        <v>67</v>
      </c>
      <c r="F11">
        <f>VLOOKUP(A11,MAU!A:C,3,)</f>
        <v>259</v>
      </c>
      <c r="G11" s="4">
        <f t="shared" si="0"/>
        <v>0.1044776119402985</v>
      </c>
      <c r="H11" s="5">
        <f t="shared" si="1"/>
        <v>2.7027027027027029E-2</v>
      </c>
    </row>
    <row r="12" spans="1:12" x14ac:dyDescent="0.25">
      <c r="A12">
        <f t="shared" si="2"/>
        <v>7</v>
      </c>
      <c r="B12">
        <f>_xlfn.ISOWEEKNUM(C12)</f>
        <v>28</v>
      </c>
      <c r="C12" s="10">
        <v>44753</v>
      </c>
      <c r="D12">
        <v>5</v>
      </c>
      <c r="E12">
        <f>VLOOKUP(B12,WAU!A:C,3,)</f>
        <v>49</v>
      </c>
      <c r="F12">
        <f>VLOOKUP(A12,MAU!A:C,3,)</f>
        <v>259</v>
      </c>
      <c r="G12" s="4">
        <f t="shared" si="0"/>
        <v>0.10204081632653061</v>
      </c>
      <c r="H12" s="5">
        <f t="shared" si="1"/>
        <v>1.9305019305019305E-2</v>
      </c>
      <c r="L12" t="s">
        <v>8</v>
      </c>
    </row>
    <row r="13" spans="1:12" x14ac:dyDescent="0.25">
      <c r="A13">
        <f t="shared" si="2"/>
        <v>7</v>
      </c>
      <c r="B13">
        <f>_xlfn.ISOWEEKNUM(C13)</f>
        <v>28</v>
      </c>
      <c r="C13" s="10">
        <v>44754</v>
      </c>
      <c r="D13">
        <v>7</v>
      </c>
      <c r="E13">
        <f>VLOOKUP(B13,WAU!A:C,3,)</f>
        <v>49</v>
      </c>
      <c r="F13">
        <f>VLOOKUP(A13,MAU!A:C,3,)</f>
        <v>259</v>
      </c>
      <c r="G13" s="4">
        <f t="shared" si="0"/>
        <v>0.14285714285714285</v>
      </c>
      <c r="H13" s="5">
        <f t="shared" si="1"/>
        <v>2.7027027027027029E-2</v>
      </c>
    </row>
    <row r="14" spans="1:12" x14ac:dyDescent="0.25">
      <c r="A14">
        <f t="shared" si="2"/>
        <v>7</v>
      </c>
      <c r="B14">
        <f>_xlfn.ISOWEEKNUM(C14)</f>
        <v>28</v>
      </c>
      <c r="C14" s="10">
        <v>44755</v>
      </c>
      <c r="D14">
        <v>5</v>
      </c>
      <c r="E14">
        <f>VLOOKUP(B14,WAU!A:C,3,)</f>
        <v>49</v>
      </c>
      <c r="F14">
        <f>VLOOKUP(A14,MAU!A:C,3,)</f>
        <v>259</v>
      </c>
      <c r="G14" s="4">
        <f t="shared" si="0"/>
        <v>0.10204081632653061</v>
      </c>
      <c r="H14" s="5">
        <f t="shared" si="1"/>
        <v>1.9305019305019305E-2</v>
      </c>
    </row>
    <row r="15" spans="1:12" x14ac:dyDescent="0.25">
      <c r="A15">
        <f t="shared" si="2"/>
        <v>7</v>
      </c>
      <c r="B15">
        <f>_xlfn.ISOWEEKNUM(C15)</f>
        <v>28</v>
      </c>
      <c r="C15" s="10">
        <v>44756</v>
      </c>
      <c r="D15">
        <v>7</v>
      </c>
      <c r="E15">
        <f>VLOOKUP(B15,WAU!A:C,3,)</f>
        <v>49</v>
      </c>
      <c r="F15">
        <f>VLOOKUP(A15,MAU!A:C,3,)</f>
        <v>259</v>
      </c>
      <c r="G15" s="4">
        <f t="shared" si="0"/>
        <v>0.14285714285714285</v>
      </c>
      <c r="H15" s="5">
        <f t="shared" si="1"/>
        <v>2.7027027027027029E-2</v>
      </c>
    </row>
    <row r="16" spans="1:12" x14ac:dyDescent="0.25">
      <c r="A16">
        <f t="shared" si="2"/>
        <v>7</v>
      </c>
      <c r="B16">
        <f>_xlfn.ISOWEEKNUM(C16)</f>
        <v>28</v>
      </c>
      <c r="C16" s="10">
        <v>44757</v>
      </c>
      <c r="D16">
        <v>6</v>
      </c>
      <c r="E16">
        <f>VLOOKUP(B16,WAU!A:C,3,)</f>
        <v>49</v>
      </c>
      <c r="F16">
        <f>VLOOKUP(A16,MAU!A:C,3,)</f>
        <v>259</v>
      </c>
      <c r="G16" s="4">
        <f t="shared" si="0"/>
        <v>0.12244897959183673</v>
      </c>
      <c r="H16" s="5">
        <f t="shared" si="1"/>
        <v>2.3166023166023165E-2</v>
      </c>
    </row>
    <row r="17" spans="1:8" x14ac:dyDescent="0.25">
      <c r="A17">
        <f t="shared" si="2"/>
        <v>7</v>
      </c>
      <c r="B17">
        <f>_xlfn.ISOWEEKNUM(C17)</f>
        <v>28</v>
      </c>
      <c r="C17" s="10">
        <v>44758</v>
      </c>
      <c r="D17">
        <v>10</v>
      </c>
      <c r="E17">
        <f>VLOOKUP(B17,WAU!A:C,3,)</f>
        <v>49</v>
      </c>
      <c r="F17">
        <f>VLOOKUP(A17,MAU!A:C,3,)</f>
        <v>259</v>
      </c>
      <c r="G17" s="4">
        <f t="shared" si="0"/>
        <v>0.20408163265306123</v>
      </c>
      <c r="H17" s="5">
        <f t="shared" si="1"/>
        <v>3.8610038610038609E-2</v>
      </c>
    </row>
    <row r="18" spans="1:8" x14ac:dyDescent="0.25">
      <c r="A18">
        <f t="shared" si="2"/>
        <v>7</v>
      </c>
      <c r="B18">
        <f>_xlfn.ISOWEEKNUM(C18)</f>
        <v>28</v>
      </c>
      <c r="C18" s="10">
        <v>44759</v>
      </c>
      <c r="D18">
        <v>9</v>
      </c>
      <c r="E18">
        <f>VLOOKUP(B18,WAU!A:C,3,)</f>
        <v>49</v>
      </c>
      <c r="F18">
        <f>VLOOKUP(A18,MAU!A:C,3,)</f>
        <v>259</v>
      </c>
      <c r="G18" s="4">
        <f t="shared" si="0"/>
        <v>0.18367346938775511</v>
      </c>
      <c r="H18" s="5">
        <f t="shared" si="1"/>
        <v>3.4749034749034749E-2</v>
      </c>
    </row>
    <row r="19" spans="1:8" x14ac:dyDescent="0.25">
      <c r="A19">
        <f t="shared" si="2"/>
        <v>7</v>
      </c>
      <c r="B19">
        <f>_xlfn.ISOWEEKNUM(C19)</f>
        <v>29</v>
      </c>
      <c r="C19" s="10">
        <v>44760</v>
      </c>
      <c r="D19">
        <v>10</v>
      </c>
      <c r="E19">
        <f>VLOOKUP(B19,WAU!A:C,3,)</f>
        <v>61</v>
      </c>
      <c r="F19">
        <f>VLOOKUP(A19,MAU!A:C,3,)</f>
        <v>259</v>
      </c>
      <c r="G19" s="4">
        <f t="shared" si="0"/>
        <v>0.16393442622950818</v>
      </c>
      <c r="H19" s="5">
        <f t="shared" si="1"/>
        <v>3.8610038610038609E-2</v>
      </c>
    </row>
    <row r="20" spans="1:8" x14ac:dyDescent="0.25">
      <c r="A20">
        <f t="shared" si="2"/>
        <v>7</v>
      </c>
      <c r="B20">
        <f>_xlfn.ISOWEEKNUM(C20)</f>
        <v>29</v>
      </c>
      <c r="C20" s="10">
        <v>44761</v>
      </c>
      <c r="D20">
        <v>8</v>
      </c>
      <c r="E20">
        <f>VLOOKUP(B20,WAU!A:C,3,)</f>
        <v>61</v>
      </c>
      <c r="F20">
        <f>VLOOKUP(A20,MAU!A:C,3,)</f>
        <v>259</v>
      </c>
      <c r="G20" s="4">
        <f t="shared" si="0"/>
        <v>0.13114754098360656</v>
      </c>
      <c r="H20" s="5">
        <f t="shared" si="1"/>
        <v>3.0888030888030889E-2</v>
      </c>
    </row>
    <row r="21" spans="1:8" x14ac:dyDescent="0.25">
      <c r="A21">
        <f t="shared" si="2"/>
        <v>7</v>
      </c>
      <c r="B21">
        <f>_xlfn.ISOWEEKNUM(C21)</f>
        <v>29</v>
      </c>
      <c r="C21" s="10">
        <v>44762</v>
      </c>
      <c r="D21">
        <v>6</v>
      </c>
      <c r="E21">
        <f>VLOOKUP(B21,WAU!A:C,3,)</f>
        <v>61</v>
      </c>
      <c r="F21">
        <f>VLOOKUP(A21,MAU!A:C,3,)</f>
        <v>259</v>
      </c>
      <c r="G21" s="4">
        <f t="shared" si="0"/>
        <v>9.8360655737704916E-2</v>
      </c>
      <c r="H21" s="5">
        <f t="shared" si="1"/>
        <v>2.3166023166023165E-2</v>
      </c>
    </row>
    <row r="22" spans="1:8" x14ac:dyDescent="0.25">
      <c r="A22">
        <f t="shared" si="2"/>
        <v>7</v>
      </c>
      <c r="B22">
        <f>_xlfn.ISOWEEKNUM(C22)</f>
        <v>29</v>
      </c>
      <c r="C22" s="10">
        <v>44763</v>
      </c>
      <c r="D22">
        <v>8</v>
      </c>
      <c r="E22">
        <f>VLOOKUP(B22,WAU!A:C,3,)</f>
        <v>61</v>
      </c>
      <c r="F22">
        <f>VLOOKUP(A22,MAU!A:C,3,)</f>
        <v>259</v>
      </c>
      <c r="G22" s="4">
        <f t="shared" si="0"/>
        <v>0.13114754098360656</v>
      </c>
      <c r="H22" s="5">
        <f t="shared" si="1"/>
        <v>3.0888030888030889E-2</v>
      </c>
    </row>
    <row r="23" spans="1:8" x14ac:dyDescent="0.25">
      <c r="A23">
        <f t="shared" si="2"/>
        <v>7</v>
      </c>
      <c r="B23">
        <f>_xlfn.ISOWEEKNUM(C23)</f>
        <v>29</v>
      </c>
      <c r="C23" s="10">
        <v>44764</v>
      </c>
      <c r="D23">
        <v>10</v>
      </c>
      <c r="E23">
        <f>VLOOKUP(B23,WAU!A:C,3,)</f>
        <v>61</v>
      </c>
      <c r="F23">
        <f>VLOOKUP(A23,MAU!A:C,3,)</f>
        <v>259</v>
      </c>
      <c r="G23" s="4">
        <f t="shared" si="0"/>
        <v>0.16393442622950818</v>
      </c>
      <c r="H23" s="5">
        <f t="shared" si="1"/>
        <v>3.8610038610038609E-2</v>
      </c>
    </row>
    <row r="24" spans="1:8" x14ac:dyDescent="0.25">
      <c r="A24">
        <f t="shared" si="2"/>
        <v>7</v>
      </c>
      <c r="B24">
        <f>_xlfn.ISOWEEKNUM(C24)</f>
        <v>29</v>
      </c>
      <c r="C24" s="10">
        <v>44765</v>
      </c>
      <c r="D24">
        <v>11</v>
      </c>
      <c r="E24">
        <f>VLOOKUP(B24,WAU!A:C,3,)</f>
        <v>61</v>
      </c>
      <c r="F24">
        <f>VLOOKUP(A24,MAU!A:C,3,)</f>
        <v>259</v>
      </c>
      <c r="G24" s="4">
        <f t="shared" si="0"/>
        <v>0.18032786885245902</v>
      </c>
      <c r="H24" s="5">
        <f t="shared" si="1"/>
        <v>4.2471042471042469E-2</v>
      </c>
    </row>
    <row r="25" spans="1:8" x14ac:dyDescent="0.25">
      <c r="A25">
        <f t="shared" si="2"/>
        <v>7</v>
      </c>
      <c r="B25">
        <f>_xlfn.ISOWEEKNUM(C25)</f>
        <v>29</v>
      </c>
      <c r="C25" s="10">
        <v>44766</v>
      </c>
      <c r="D25">
        <v>8</v>
      </c>
      <c r="E25">
        <f>VLOOKUP(B25,WAU!A:C,3,)</f>
        <v>61</v>
      </c>
      <c r="F25">
        <f>VLOOKUP(A25,MAU!A:C,3,)</f>
        <v>259</v>
      </c>
      <c r="G25" s="4">
        <f t="shared" si="0"/>
        <v>0.13114754098360656</v>
      </c>
      <c r="H25" s="5">
        <f t="shared" si="1"/>
        <v>3.0888030888030889E-2</v>
      </c>
    </row>
    <row r="26" spans="1:8" x14ac:dyDescent="0.25">
      <c r="A26">
        <f t="shared" si="2"/>
        <v>7</v>
      </c>
      <c r="B26">
        <f>_xlfn.ISOWEEKNUM(C26)</f>
        <v>30</v>
      </c>
      <c r="C26" s="10">
        <v>44767</v>
      </c>
      <c r="D26">
        <v>12</v>
      </c>
      <c r="E26">
        <f>VLOOKUP(B26,WAU!A:C,3,)</f>
        <v>62</v>
      </c>
      <c r="F26">
        <f>VLOOKUP(A26,MAU!A:C,3,)</f>
        <v>259</v>
      </c>
      <c r="G26" s="4">
        <f t="shared" si="0"/>
        <v>0.19354838709677419</v>
      </c>
      <c r="H26" s="5">
        <f t="shared" si="1"/>
        <v>4.633204633204633E-2</v>
      </c>
    </row>
    <row r="27" spans="1:8" x14ac:dyDescent="0.25">
      <c r="A27">
        <f t="shared" si="2"/>
        <v>7</v>
      </c>
      <c r="B27">
        <f>_xlfn.ISOWEEKNUM(C27)</f>
        <v>30</v>
      </c>
      <c r="C27" s="10">
        <v>44768</v>
      </c>
      <c r="D27">
        <v>5</v>
      </c>
      <c r="E27">
        <f>VLOOKUP(B27,WAU!A:C,3,)</f>
        <v>62</v>
      </c>
      <c r="F27">
        <f>VLOOKUP(A27,MAU!A:C,3,)</f>
        <v>259</v>
      </c>
      <c r="G27" s="4">
        <f t="shared" si="0"/>
        <v>8.0645161290322578E-2</v>
      </c>
      <c r="H27" s="5">
        <f t="shared" si="1"/>
        <v>1.9305019305019305E-2</v>
      </c>
    </row>
    <row r="28" spans="1:8" x14ac:dyDescent="0.25">
      <c r="A28">
        <f t="shared" si="2"/>
        <v>7</v>
      </c>
      <c r="B28">
        <f>_xlfn.ISOWEEKNUM(C28)</f>
        <v>30</v>
      </c>
      <c r="C28" s="10">
        <v>44769</v>
      </c>
      <c r="D28">
        <v>8</v>
      </c>
      <c r="E28">
        <f>VLOOKUP(B28,WAU!A:C,3,)</f>
        <v>62</v>
      </c>
      <c r="F28">
        <f>VLOOKUP(A28,MAU!A:C,3,)</f>
        <v>259</v>
      </c>
      <c r="G28" s="4">
        <f t="shared" si="0"/>
        <v>0.12903225806451613</v>
      </c>
      <c r="H28" s="5">
        <f t="shared" si="1"/>
        <v>3.0888030888030889E-2</v>
      </c>
    </row>
    <row r="29" spans="1:8" x14ac:dyDescent="0.25">
      <c r="A29">
        <f t="shared" si="2"/>
        <v>7</v>
      </c>
      <c r="B29">
        <f>_xlfn.ISOWEEKNUM(C29)</f>
        <v>30</v>
      </c>
      <c r="C29" s="10">
        <v>44770</v>
      </c>
      <c r="D29">
        <v>12</v>
      </c>
      <c r="E29">
        <f>VLOOKUP(B29,WAU!A:C,3,)</f>
        <v>62</v>
      </c>
      <c r="F29">
        <f>VLOOKUP(A29,MAU!A:C,3,)</f>
        <v>259</v>
      </c>
      <c r="G29" s="4">
        <f t="shared" si="0"/>
        <v>0.19354838709677419</v>
      </c>
      <c r="H29" s="5">
        <f t="shared" si="1"/>
        <v>4.633204633204633E-2</v>
      </c>
    </row>
    <row r="30" spans="1:8" x14ac:dyDescent="0.25">
      <c r="A30">
        <f t="shared" si="2"/>
        <v>7</v>
      </c>
      <c r="B30">
        <f>_xlfn.ISOWEEKNUM(C30)</f>
        <v>30</v>
      </c>
      <c r="C30" s="10">
        <v>44771</v>
      </c>
      <c r="D30">
        <v>3</v>
      </c>
      <c r="E30">
        <f>VLOOKUP(B30,WAU!A:C,3,)</f>
        <v>62</v>
      </c>
      <c r="F30">
        <f>VLOOKUP(A30,MAU!A:C,3,)</f>
        <v>259</v>
      </c>
      <c r="G30" s="4">
        <f t="shared" si="0"/>
        <v>4.8387096774193547E-2</v>
      </c>
      <c r="H30" s="5">
        <f t="shared" si="1"/>
        <v>1.1583011583011582E-2</v>
      </c>
    </row>
    <row r="31" spans="1:8" x14ac:dyDescent="0.25">
      <c r="A31">
        <f t="shared" si="2"/>
        <v>7</v>
      </c>
      <c r="B31">
        <f>_xlfn.ISOWEEKNUM(C31)</f>
        <v>30</v>
      </c>
      <c r="C31" s="10">
        <v>44772</v>
      </c>
      <c r="D31">
        <v>10</v>
      </c>
      <c r="E31">
        <f>VLOOKUP(B31,WAU!A:C,3,)</f>
        <v>62</v>
      </c>
      <c r="F31">
        <f>VLOOKUP(A31,MAU!A:C,3,)</f>
        <v>259</v>
      </c>
      <c r="G31" s="4">
        <f t="shared" si="0"/>
        <v>0.16129032258064516</v>
      </c>
      <c r="H31" s="5">
        <f t="shared" si="1"/>
        <v>3.8610038610038609E-2</v>
      </c>
    </row>
    <row r="32" spans="1:8" x14ac:dyDescent="0.25">
      <c r="A32">
        <f t="shared" si="2"/>
        <v>7</v>
      </c>
      <c r="B32">
        <f>_xlfn.ISOWEEKNUM(C32)</f>
        <v>30</v>
      </c>
      <c r="C32" s="10">
        <v>44773</v>
      </c>
      <c r="D32">
        <v>12</v>
      </c>
      <c r="E32">
        <f>VLOOKUP(B32,WAU!A:C,3,)</f>
        <v>62</v>
      </c>
      <c r="F32">
        <f>VLOOKUP(A32,MAU!A:C,3,)</f>
        <v>259</v>
      </c>
      <c r="G32" s="4">
        <f t="shared" si="0"/>
        <v>0.19354838709677419</v>
      </c>
      <c r="H32" s="5">
        <f t="shared" si="1"/>
        <v>4.633204633204633E-2</v>
      </c>
    </row>
    <row r="33" spans="1:8" x14ac:dyDescent="0.25">
      <c r="A33">
        <f t="shared" si="2"/>
        <v>8</v>
      </c>
      <c r="B33">
        <f>_xlfn.ISOWEEKNUM(C33)</f>
        <v>31</v>
      </c>
      <c r="C33" s="10">
        <v>44774</v>
      </c>
      <c r="D33">
        <v>6</v>
      </c>
      <c r="E33">
        <f>VLOOKUP(B33,WAU!A:C,3,)</f>
        <v>45</v>
      </c>
      <c r="F33">
        <f>VLOOKUP(A33,MAU!A:C,3,)</f>
        <v>235</v>
      </c>
      <c r="G33" s="4">
        <f t="shared" si="0"/>
        <v>0.13333333333333333</v>
      </c>
      <c r="H33" s="5">
        <f t="shared" si="1"/>
        <v>2.553191489361702E-2</v>
      </c>
    </row>
    <row r="34" spans="1:8" x14ac:dyDescent="0.25">
      <c r="A34">
        <f t="shared" si="2"/>
        <v>8</v>
      </c>
      <c r="B34">
        <f>_xlfn.ISOWEEKNUM(C34)</f>
        <v>31</v>
      </c>
      <c r="C34" s="10">
        <v>44775</v>
      </c>
      <c r="D34">
        <v>8</v>
      </c>
      <c r="E34">
        <f>VLOOKUP(B34,WAU!A:C,3,)</f>
        <v>45</v>
      </c>
      <c r="F34">
        <f>VLOOKUP(A34,MAU!A:C,3,)</f>
        <v>235</v>
      </c>
      <c r="G34" s="4">
        <f t="shared" si="0"/>
        <v>0.17777777777777778</v>
      </c>
      <c r="H34" s="5">
        <f t="shared" si="1"/>
        <v>3.4042553191489362E-2</v>
      </c>
    </row>
    <row r="35" spans="1:8" x14ac:dyDescent="0.25">
      <c r="A35">
        <f t="shared" si="2"/>
        <v>8</v>
      </c>
      <c r="B35">
        <f>_xlfn.ISOWEEKNUM(C35)</f>
        <v>31</v>
      </c>
      <c r="C35" s="10">
        <v>44776</v>
      </c>
      <c r="D35">
        <v>4</v>
      </c>
      <c r="E35">
        <f>VLOOKUP(B35,WAU!A:C,3,)</f>
        <v>45</v>
      </c>
      <c r="F35">
        <f>VLOOKUP(A35,MAU!A:C,3,)</f>
        <v>235</v>
      </c>
      <c r="G35" s="4">
        <f t="shared" si="0"/>
        <v>8.8888888888888892E-2</v>
      </c>
      <c r="H35" s="5">
        <f t="shared" si="1"/>
        <v>1.7021276595744681E-2</v>
      </c>
    </row>
    <row r="36" spans="1:8" x14ac:dyDescent="0.25">
      <c r="A36">
        <f t="shared" si="2"/>
        <v>8</v>
      </c>
      <c r="B36">
        <f>_xlfn.ISOWEEKNUM(C36)</f>
        <v>31</v>
      </c>
      <c r="C36" s="10">
        <v>44777</v>
      </c>
      <c r="D36">
        <v>9</v>
      </c>
      <c r="E36">
        <f>VLOOKUP(B36,WAU!A:C,3,)</f>
        <v>45</v>
      </c>
      <c r="F36">
        <f>VLOOKUP(A36,MAU!A:C,3,)</f>
        <v>235</v>
      </c>
      <c r="G36" s="4">
        <f t="shared" si="0"/>
        <v>0.2</v>
      </c>
      <c r="H36" s="5">
        <f t="shared" si="1"/>
        <v>3.8297872340425532E-2</v>
      </c>
    </row>
    <row r="37" spans="1:8" x14ac:dyDescent="0.25">
      <c r="A37">
        <f t="shared" si="2"/>
        <v>8</v>
      </c>
      <c r="B37">
        <f>_xlfn.ISOWEEKNUM(C37)</f>
        <v>31</v>
      </c>
      <c r="C37" s="10">
        <v>44778</v>
      </c>
      <c r="D37">
        <v>10</v>
      </c>
      <c r="E37">
        <f>VLOOKUP(B37,WAU!A:C,3,)</f>
        <v>45</v>
      </c>
      <c r="F37">
        <f>VLOOKUP(A37,MAU!A:C,3,)</f>
        <v>235</v>
      </c>
      <c r="G37" s="4">
        <f t="shared" si="0"/>
        <v>0.22222222222222221</v>
      </c>
      <c r="H37" s="5">
        <f t="shared" si="1"/>
        <v>4.2553191489361701E-2</v>
      </c>
    </row>
    <row r="38" spans="1:8" x14ac:dyDescent="0.25">
      <c r="A38">
        <f t="shared" si="2"/>
        <v>8</v>
      </c>
      <c r="B38">
        <f>_xlfn.ISOWEEKNUM(C38)</f>
        <v>31</v>
      </c>
      <c r="C38" s="10">
        <v>44779</v>
      </c>
      <c r="D38">
        <v>4</v>
      </c>
      <c r="E38">
        <f>VLOOKUP(B38,WAU!A:C,3,)</f>
        <v>45</v>
      </c>
      <c r="F38">
        <f>VLOOKUP(A38,MAU!A:C,3,)</f>
        <v>235</v>
      </c>
      <c r="G38" s="4">
        <f t="shared" si="0"/>
        <v>8.8888888888888892E-2</v>
      </c>
      <c r="H38" s="5">
        <f t="shared" si="1"/>
        <v>1.7021276595744681E-2</v>
      </c>
    </row>
    <row r="39" spans="1:8" x14ac:dyDescent="0.25">
      <c r="A39">
        <f t="shared" si="2"/>
        <v>8</v>
      </c>
      <c r="B39">
        <f>_xlfn.ISOWEEKNUM(C39)</f>
        <v>31</v>
      </c>
      <c r="C39" s="10">
        <v>44780</v>
      </c>
      <c r="D39">
        <v>4</v>
      </c>
      <c r="E39">
        <f>VLOOKUP(B39,WAU!A:C,3,)</f>
        <v>45</v>
      </c>
      <c r="F39">
        <f>VLOOKUP(A39,MAU!A:C,3,)</f>
        <v>235</v>
      </c>
      <c r="G39" s="4">
        <f t="shared" si="0"/>
        <v>8.8888888888888892E-2</v>
      </c>
      <c r="H39" s="5">
        <f t="shared" si="1"/>
        <v>1.7021276595744681E-2</v>
      </c>
    </row>
    <row r="40" spans="1:8" x14ac:dyDescent="0.25">
      <c r="A40">
        <f t="shared" si="2"/>
        <v>8</v>
      </c>
      <c r="B40">
        <f>_xlfn.ISOWEEKNUM(C40)</f>
        <v>32</v>
      </c>
      <c r="C40" s="10">
        <v>44781</v>
      </c>
      <c r="D40">
        <v>14</v>
      </c>
      <c r="E40">
        <f>VLOOKUP(B40,WAU!A:C,3,)</f>
        <v>65</v>
      </c>
      <c r="F40">
        <f>VLOOKUP(A40,MAU!A:C,3,)</f>
        <v>235</v>
      </c>
      <c r="G40" s="4">
        <f t="shared" si="0"/>
        <v>0.2153846153846154</v>
      </c>
      <c r="H40" s="5">
        <f t="shared" si="1"/>
        <v>5.9574468085106386E-2</v>
      </c>
    </row>
    <row r="41" spans="1:8" x14ac:dyDescent="0.25">
      <c r="A41">
        <f t="shared" si="2"/>
        <v>8</v>
      </c>
      <c r="B41">
        <f>_xlfn.ISOWEEKNUM(C41)</f>
        <v>32</v>
      </c>
      <c r="C41" s="10">
        <v>44782</v>
      </c>
      <c r="D41">
        <v>7</v>
      </c>
      <c r="E41">
        <f>VLOOKUP(B41,WAU!A:C,3,)</f>
        <v>65</v>
      </c>
      <c r="F41">
        <f>VLOOKUP(A41,MAU!A:C,3,)</f>
        <v>235</v>
      </c>
      <c r="G41" s="4">
        <f t="shared" si="0"/>
        <v>0.1076923076923077</v>
      </c>
      <c r="H41" s="5">
        <f t="shared" si="1"/>
        <v>2.9787234042553193E-2</v>
      </c>
    </row>
    <row r="42" spans="1:8" x14ac:dyDescent="0.25">
      <c r="A42">
        <f t="shared" si="2"/>
        <v>8</v>
      </c>
      <c r="B42">
        <f>_xlfn.ISOWEEKNUM(C42)</f>
        <v>32</v>
      </c>
      <c r="C42" s="10">
        <v>44783</v>
      </c>
      <c r="D42">
        <v>8</v>
      </c>
      <c r="E42">
        <f>VLOOKUP(B42,WAU!A:C,3,)</f>
        <v>65</v>
      </c>
      <c r="F42">
        <f>VLOOKUP(A42,MAU!A:C,3,)</f>
        <v>235</v>
      </c>
      <c r="G42" s="4">
        <f t="shared" si="0"/>
        <v>0.12307692307692308</v>
      </c>
      <c r="H42" s="5">
        <f t="shared" si="1"/>
        <v>3.4042553191489362E-2</v>
      </c>
    </row>
    <row r="43" spans="1:8" x14ac:dyDescent="0.25">
      <c r="A43">
        <f t="shared" si="2"/>
        <v>8</v>
      </c>
      <c r="B43">
        <f>_xlfn.ISOWEEKNUM(C43)</f>
        <v>32</v>
      </c>
      <c r="C43" s="10">
        <v>44784</v>
      </c>
      <c r="D43">
        <v>9</v>
      </c>
      <c r="E43">
        <f>VLOOKUP(B43,WAU!A:C,3,)</f>
        <v>65</v>
      </c>
      <c r="F43">
        <f>VLOOKUP(A43,MAU!A:C,3,)</f>
        <v>235</v>
      </c>
      <c r="G43" s="4">
        <f t="shared" si="0"/>
        <v>0.13846153846153847</v>
      </c>
      <c r="H43" s="5">
        <f t="shared" si="1"/>
        <v>3.8297872340425532E-2</v>
      </c>
    </row>
    <row r="44" spans="1:8" x14ac:dyDescent="0.25">
      <c r="A44">
        <f t="shared" si="2"/>
        <v>8</v>
      </c>
      <c r="B44">
        <f>_xlfn.ISOWEEKNUM(C44)</f>
        <v>32</v>
      </c>
      <c r="C44" s="10">
        <v>44785</v>
      </c>
      <c r="D44">
        <v>10</v>
      </c>
      <c r="E44">
        <f>VLOOKUP(B44,WAU!A:C,3,)</f>
        <v>65</v>
      </c>
      <c r="F44">
        <f>VLOOKUP(A44,MAU!A:C,3,)</f>
        <v>235</v>
      </c>
      <c r="G44" s="4">
        <f t="shared" si="0"/>
        <v>0.15384615384615385</v>
      </c>
      <c r="H44" s="5">
        <f t="shared" si="1"/>
        <v>4.2553191489361701E-2</v>
      </c>
    </row>
    <row r="45" spans="1:8" x14ac:dyDescent="0.25">
      <c r="A45">
        <f t="shared" si="2"/>
        <v>8</v>
      </c>
      <c r="B45">
        <f>_xlfn.ISOWEEKNUM(C45)</f>
        <v>32</v>
      </c>
      <c r="C45" s="10">
        <v>44786</v>
      </c>
      <c r="D45">
        <v>9</v>
      </c>
      <c r="E45">
        <f>VLOOKUP(B45,WAU!A:C,3,)</f>
        <v>65</v>
      </c>
      <c r="F45">
        <f>VLOOKUP(A45,MAU!A:C,3,)</f>
        <v>235</v>
      </c>
      <c r="G45" s="4">
        <f t="shared" si="0"/>
        <v>0.13846153846153847</v>
      </c>
      <c r="H45" s="5">
        <f t="shared" si="1"/>
        <v>3.8297872340425532E-2</v>
      </c>
    </row>
    <row r="46" spans="1:8" x14ac:dyDescent="0.25">
      <c r="A46">
        <f t="shared" si="2"/>
        <v>8</v>
      </c>
      <c r="B46">
        <f>_xlfn.ISOWEEKNUM(C46)</f>
        <v>32</v>
      </c>
      <c r="C46" s="10">
        <v>44787</v>
      </c>
      <c r="D46">
        <v>8</v>
      </c>
      <c r="E46">
        <f>VLOOKUP(B46,WAU!A:C,3,)</f>
        <v>65</v>
      </c>
      <c r="F46">
        <f>VLOOKUP(A46,MAU!A:C,3,)</f>
        <v>235</v>
      </c>
      <c r="G46" s="4">
        <f t="shared" si="0"/>
        <v>0.12307692307692308</v>
      </c>
      <c r="H46" s="5">
        <f t="shared" si="1"/>
        <v>3.4042553191489362E-2</v>
      </c>
    </row>
    <row r="47" spans="1:8" x14ac:dyDescent="0.25">
      <c r="A47">
        <f t="shared" si="2"/>
        <v>8</v>
      </c>
      <c r="B47">
        <f>_xlfn.ISOWEEKNUM(C47)</f>
        <v>33</v>
      </c>
      <c r="C47" s="10">
        <v>44788</v>
      </c>
      <c r="D47">
        <v>6</v>
      </c>
      <c r="E47">
        <f>VLOOKUP(B47,WAU!A:C,3,)</f>
        <v>55</v>
      </c>
      <c r="F47">
        <f>VLOOKUP(A47,MAU!A:C,3,)</f>
        <v>235</v>
      </c>
      <c r="G47" s="4">
        <f t="shared" si="0"/>
        <v>0.10909090909090909</v>
      </c>
      <c r="H47" s="5">
        <f t="shared" si="1"/>
        <v>2.553191489361702E-2</v>
      </c>
    </row>
    <row r="48" spans="1:8" x14ac:dyDescent="0.25">
      <c r="A48">
        <f t="shared" si="2"/>
        <v>8</v>
      </c>
      <c r="B48">
        <f>_xlfn.ISOWEEKNUM(C48)</f>
        <v>33</v>
      </c>
      <c r="C48" s="10">
        <v>44789</v>
      </c>
      <c r="D48">
        <v>12</v>
      </c>
      <c r="E48">
        <f>VLOOKUP(B48,WAU!A:C,3,)</f>
        <v>55</v>
      </c>
      <c r="F48">
        <f>VLOOKUP(A48,MAU!A:C,3,)</f>
        <v>235</v>
      </c>
      <c r="G48" s="4">
        <f t="shared" si="0"/>
        <v>0.21818181818181817</v>
      </c>
      <c r="H48" s="5">
        <f t="shared" si="1"/>
        <v>5.106382978723404E-2</v>
      </c>
    </row>
    <row r="49" spans="1:8" x14ac:dyDescent="0.25">
      <c r="A49">
        <f t="shared" si="2"/>
        <v>8</v>
      </c>
      <c r="B49">
        <f>_xlfn.ISOWEEKNUM(C49)</f>
        <v>33</v>
      </c>
      <c r="C49" s="10">
        <v>44790</v>
      </c>
      <c r="D49">
        <v>4</v>
      </c>
      <c r="E49">
        <f>VLOOKUP(B49,WAU!A:C,3,)</f>
        <v>55</v>
      </c>
      <c r="F49">
        <f>VLOOKUP(A49,MAU!A:C,3,)</f>
        <v>235</v>
      </c>
      <c r="G49" s="4">
        <f t="shared" si="0"/>
        <v>7.2727272727272724E-2</v>
      </c>
      <c r="H49" s="5">
        <f t="shared" si="1"/>
        <v>1.7021276595744681E-2</v>
      </c>
    </row>
    <row r="50" spans="1:8" x14ac:dyDescent="0.25">
      <c r="A50">
        <f t="shared" si="2"/>
        <v>8</v>
      </c>
      <c r="B50">
        <f>_xlfn.ISOWEEKNUM(C50)</f>
        <v>33</v>
      </c>
      <c r="C50" s="10">
        <v>44791</v>
      </c>
      <c r="D50">
        <v>5</v>
      </c>
      <c r="E50">
        <f>VLOOKUP(B50,WAU!A:C,3,)</f>
        <v>55</v>
      </c>
      <c r="F50">
        <f>VLOOKUP(A50,MAU!A:C,3,)</f>
        <v>235</v>
      </c>
      <c r="G50" s="4">
        <f t="shared" si="0"/>
        <v>9.0909090909090912E-2</v>
      </c>
      <c r="H50" s="5">
        <f t="shared" si="1"/>
        <v>2.1276595744680851E-2</v>
      </c>
    </row>
    <row r="51" spans="1:8" x14ac:dyDescent="0.25">
      <c r="A51">
        <f t="shared" si="2"/>
        <v>8</v>
      </c>
      <c r="B51">
        <f>_xlfn.ISOWEEKNUM(C51)</f>
        <v>33</v>
      </c>
      <c r="C51" s="10">
        <v>44792</v>
      </c>
      <c r="D51">
        <v>9</v>
      </c>
      <c r="E51">
        <f>VLOOKUP(B51,WAU!A:C,3,)</f>
        <v>55</v>
      </c>
      <c r="F51">
        <f>VLOOKUP(A51,MAU!A:C,3,)</f>
        <v>235</v>
      </c>
      <c r="G51" s="4">
        <f t="shared" si="0"/>
        <v>0.16363636363636364</v>
      </c>
      <c r="H51" s="5">
        <f t="shared" si="1"/>
        <v>3.8297872340425532E-2</v>
      </c>
    </row>
    <row r="52" spans="1:8" x14ac:dyDescent="0.25">
      <c r="A52">
        <f t="shared" si="2"/>
        <v>8</v>
      </c>
      <c r="B52">
        <f>_xlfn.ISOWEEKNUM(C52)</f>
        <v>33</v>
      </c>
      <c r="C52" s="10">
        <v>44793</v>
      </c>
      <c r="D52">
        <v>12</v>
      </c>
      <c r="E52">
        <f>VLOOKUP(B52,WAU!A:C,3,)</f>
        <v>55</v>
      </c>
      <c r="F52">
        <f>VLOOKUP(A52,MAU!A:C,3,)</f>
        <v>235</v>
      </c>
      <c r="G52" s="4">
        <f t="shared" si="0"/>
        <v>0.21818181818181817</v>
      </c>
      <c r="H52" s="5">
        <f t="shared" si="1"/>
        <v>5.106382978723404E-2</v>
      </c>
    </row>
    <row r="53" spans="1:8" x14ac:dyDescent="0.25">
      <c r="A53">
        <f t="shared" si="2"/>
        <v>8</v>
      </c>
      <c r="B53">
        <f>_xlfn.ISOWEEKNUM(C53)</f>
        <v>33</v>
      </c>
      <c r="C53" s="10">
        <v>44794</v>
      </c>
      <c r="D53">
        <v>7</v>
      </c>
      <c r="E53">
        <f>VLOOKUP(B53,WAU!A:C,3,)</f>
        <v>55</v>
      </c>
      <c r="F53">
        <f>VLOOKUP(A53,MAU!A:C,3,)</f>
        <v>235</v>
      </c>
      <c r="G53" s="4">
        <f t="shared" si="0"/>
        <v>0.12727272727272726</v>
      </c>
      <c r="H53" s="5">
        <f t="shared" si="1"/>
        <v>2.9787234042553193E-2</v>
      </c>
    </row>
    <row r="54" spans="1:8" x14ac:dyDescent="0.25">
      <c r="A54">
        <f t="shared" si="2"/>
        <v>8</v>
      </c>
      <c r="B54">
        <f>_xlfn.ISOWEEKNUM(C54)</f>
        <v>34</v>
      </c>
      <c r="C54" s="10">
        <v>44795</v>
      </c>
      <c r="D54">
        <v>7</v>
      </c>
      <c r="E54">
        <f>VLOOKUP(B54,WAU!A:C,3,)</f>
        <v>51</v>
      </c>
      <c r="F54">
        <f>VLOOKUP(A54,MAU!A:C,3,)</f>
        <v>235</v>
      </c>
      <c r="G54" s="4">
        <f t="shared" si="0"/>
        <v>0.13725490196078433</v>
      </c>
      <c r="H54" s="5">
        <f t="shared" si="1"/>
        <v>2.9787234042553193E-2</v>
      </c>
    </row>
    <row r="55" spans="1:8" x14ac:dyDescent="0.25">
      <c r="A55">
        <f t="shared" si="2"/>
        <v>8</v>
      </c>
      <c r="B55">
        <f>_xlfn.ISOWEEKNUM(C55)</f>
        <v>34</v>
      </c>
      <c r="C55" s="10">
        <v>44796</v>
      </c>
      <c r="D55">
        <v>15</v>
      </c>
      <c r="E55">
        <f>VLOOKUP(B55,WAU!A:C,3,)</f>
        <v>51</v>
      </c>
      <c r="F55">
        <f>VLOOKUP(A55,MAU!A:C,3,)</f>
        <v>235</v>
      </c>
      <c r="G55" s="4">
        <f t="shared" si="0"/>
        <v>0.29411764705882354</v>
      </c>
      <c r="H55" s="5">
        <f t="shared" si="1"/>
        <v>6.3829787234042548E-2</v>
      </c>
    </row>
    <row r="56" spans="1:8" x14ac:dyDescent="0.25">
      <c r="A56">
        <f t="shared" si="2"/>
        <v>8</v>
      </c>
      <c r="B56">
        <f>_xlfn.ISOWEEKNUM(C56)</f>
        <v>34</v>
      </c>
      <c r="C56" s="10">
        <v>44797</v>
      </c>
      <c r="D56">
        <v>6</v>
      </c>
      <c r="E56">
        <f>VLOOKUP(B56,WAU!A:C,3,)</f>
        <v>51</v>
      </c>
      <c r="F56">
        <f>VLOOKUP(A56,MAU!A:C,3,)</f>
        <v>235</v>
      </c>
      <c r="G56" s="4">
        <f t="shared" si="0"/>
        <v>0.11764705882352941</v>
      </c>
      <c r="H56" s="5">
        <f t="shared" si="1"/>
        <v>2.553191489361702E-2</v>
      </c>
    </row>
    <row r="57" spans="1:8" x14ac:dyDescent="0.25">
      <c r="A57">
        <f t="shared" si="2"/>
        <v>8</v>
      </c>
      <c r="B57">
        <f>_xlfn.ISOWEEKNUM(C57)</f>
        <v>34</v>
      </c>
      <c r="C57" s="10">
        <v>44798</v>
      </c>
      <c r="D57">
        <v>6</v>
      </c>
      <c r="E57">
        <f>VLOOKUP(B57,WAU!A:C,3,)</f>
        <v>51</v>
      </c>
      <c r="F57">
        <f>VLOOKUP(A57,MAU!A:C,3,)</f>
        <v>235</v>
      </c>
      <c r="G57" s="4">
        <f t="shared" si="0"/>
        <v>0.11764705882352941</v>
      </c>
      <c r="H57" s="5">
        <f t="shared" si="1"/>
        <v>2.553191489361702E-2</v>
      </c>
    </row>
    <row r="58" spans="1:8" x14ac:dyDescent="0.25">
      <c r="A58">
        <f t="shared" si="2"/>
        <v>8</v>
      </c>
      <c r="B58">
        <f>_xlfn.ISOWEEKNUM(C58)</f>
        <v>34</v>
      </c>
      <c r="C58" s="10">
        <v>44799</v>
      </c>
      <c r="D58">
        <v>6</v>
      </c>
      <c r="E58">
        <f>VLOOKUP(B58,WAU!A:C,3,)</f>
        <v>51</v>
      </c>
      <c r="F58">
        <f>VLOOKUP(A58,MAU!A:C,3,)</f>
        <v>235</v>
      </c>
      <c r="G58" s="4">
        <f t="shared" si="0"/>
        <v>0.11764705882352941</v>
      </c>
      <c r="H58" s="5">
        <f t="shared" si="1"/>
        <v>2.553191489361702E-2</v>
      </c>
    </row>
    <row r="59" spans="1:8" x14ac:dyDescent="0.25">
      <c r="A59">
        <f t="shared" si="2"/>
        <v>8</v>
      </c>
      <c r="B59">
        <f>_xlfn.ISOWEEKNUM(C59)</f>
        <v>34</v>
      </c>
      <c r="C59" s="10">
        <v>44800</v>
      </c>
      <c r="D59">
        <v>5</v>
      </c>
      <c r="E59">
        <f>VLOOKUP(B59,WAU!A:C,3,)</f>
        <v>51</v>
      </c>
      <c r="F59">
        <f>VLOOKUP(A59,MAU!A:C,3,)</f>
        <v>235</v>
      </c>
      <c r="G59" s="4">
        <f t="shared" si="0"/>
        <v>9.8039215686274508E-2</v>
      </c>
      <c r="H59" s="5">
        <f t="shared" si="1"/>
        <v>2.1276595744680851E-2</v>
      </c>
    </row>
    <row r="60" spans="1:8" x14ac:dyDescent="0.25">
      <c r="A60">
        <f t="shared" si="2"/>
        <v>8</v>
      </c>
      <c r="B60">
        <f>_xlfn.ISOWEEKNUM(C60)</f>
        <v>34</v>
      </c>
      <c r="C60" s="10">
        <v>44801</v>
      </c>
      <c r="D60">
        <v>6</v>
      </c>
      <c r="E60">
        <f>VLOOKUP(B60,WAU!A:C,3,)</f>
        <v>51</v>
      </c>
      <c r="F60">
        <f>VLOOKUP(A60,MAU!A:C,3,)</f>
        <v>235</v>
      </c>
      <c r="G60" s="4">
        <f t="shared" si="0"/>
        <v>0.11764705882352941</v>
      </c>
      <c r="H60" s="5">
        <f t="shared" si="1"/>
        <v>2.553191489361702E-2</v>
      </c>
    </row>
    <row r="61" spans="1:8" x14ac:dyDescent="0.25">
      <c r="A61">
        <f t="shared" si="2"/>
        <v>8</v>
      </c>
      <c r="B61">
        <f>_xlfn.ISOWEEKNUM(C61)</f>
        <v>35</v>
      </c>
      <c r="C61" s="10">
        <v>44802</v>
      </c>
      <c r="D61">
        <v>7</v>
      </c>
      <c r="E61">
        <f>VLOOKUP(B61,WAU!A:C,3,)</f>
        <v>54</v>
      </c>
      <c r="F61">
        <f>VLOOKUP(A61,MAU!A:C,3,)</f>
        <v>235</v>
      </c>
      <c r="G61" s="4">
        <f t="shared" si="0"/>
        <v>0.12962962962962962</v>
      </c>
      <c r="H61" s="5">
        <f t="shared" si="1"/>
        <v>2.9787234042553193E-2</v>
      </c>
    </row>
    <row r="62" spans="1:8" x14ac:dyDescent="0.25">
      <c r="A62">
        <f t="shared" si="2"/>
        <v>8</v>
      </c>
      <c r="B62">
        <f>_xlfn.ISOWEEKNUM(C62)</f>
        <v>35</v>
      </c>
      <c r="C62" s="10">
        <v>44803</v>
      </c>
      <c r="D62">
        <v>7</v>
      </c>
      <c r="E62">
        <f>VLOOKUP(B62,WAU!A:C,3,)</f>
        <v>54</v>
      </c>
      <c r="F62">
        <f>VLOOKUP(A62,MAU!A:C,3,)</f>
        <v>235</v>
      </c>
      <c r="G62" s="4">
        <f t="shared" si="0"/>
        <v>0.12962962962962962</v>
      </c>
      <c r="H62" s="5">
        <f t="shared" si="1"/>
        <v>2.9787234042553193E-2</v>
      </c>
    </row>
    <row r="63" spans="1:8" x14ac:dyDescent="0.25">
      <c r="A63">
        <f t="shared" si="2"/>
        <v>8</v>
      </c>
      <c r="B63">
        <f>_xlfn.ISOWEEKNUM(C63)</f>
        <v>35</v>
      </c>
      <c r="C63" s="10">
        <v>44804</v>
      </c>
      <c r="D63">
        <v>5</v>
      </c>
      <c r="E63">
        <f>VLOOKUP(B63,WAU!A:C,3,)</f>
        <v>54</v>
      </c>
      <c r="F63">
        <f>VLOOKUP(A63,MAU!A:C,3,)</f>
        <v>235</v>
      </c>
      <c r="G63" s="4">
        <f t="shared" si="0"/>
        <v>9.2592592592592587E-2</v>
      </c>
      <c r="H63" s="5">
        <f t="shared" si="1"/>
        <v>2.1276595744680851E-2</v>
      </c>
    </row>
    <row r="64" spans="1:8" x14ac:dyDescent="0.25">
      <c r="A64">
        <f t="shared" si="2"/>
        <v>9</v>
      </c>
      <c r="B64">
        <f>_xlfn.ISOWEEKNUM(C64)</f>
        <v>35</v>
      </c>
      <c r="C64" s="10">
        <v>44805</v>
      </c>
      <c r="D64">
        <v>9</v>
      </c>
      <c r="E64">
        <f>VLOOKUP(B64,WAU!A:C,3,)</f>
        <v>54</v>
      </c>
      <c r="F64">
        <f>VLOOKUP(A64,MAU!A:C,3,)</f>
        <v>257</v>
      </c>
      <c r="G64" s="4">
        <f t="shared" si="0"/>
        <v>0.16666666666666666</v>
      </c>
      <c r="H64" s="5">
        <f t="shared" si="1"/>
        <v>3.5019455252918288E-2</v>
      </c>
    </row>
    <row r="65" spans="1:25" x14ac:dyDescent="0.25">
      <c r="A65">
        <f t="shared" si="2"/>
        <v>9</v>
      </c>
      <c r="B65">
        <f>_xlfn.ISOWEEKNUM(C65)</f>
        <v>35</v>
      </c>
      <c r="C65" s="10">
        <v>44806</v>
      </c>
      <c r="D65">
        <v>9</v>
      </c>
      <c r="E65">
        <f>VLOOKUP(B65,WAU!A:C,3,)</f>
        <v>54</v>
      </c>
      <c r="F65">
        <f>VLOOKUP(A65,MAU!A:C,3,)</f>
        <v>257</v>
      </c>
      <c r="G65" s="4">
        <f t="shared" si="0"/>
        <v>0.16666666666666666</v>
      </c>
      <c r="H65" s="5">
        <f t="shared" si="1"/>
        <v>3.5019455252918288E-2</v>
      </c>
    </row>
    <row r="66" spans="1:25" x14ac:dyDescent="0.25">
      <c r="A66">
        <f t="shared" si="2"/>
        <v>9</v>
      </c>
      <c r="B66">
        <f>_xlfn.ISOWEEKNUM(C66)</f>
        <v>35</v>
      </c>
      <c r="C66" s="10">
        <v>44807</v>
      </c>
      <c r="D66">
        <v>8</v>
      </c>
      <c r="E66">
        <f>VLOOKUP(B66,WAU!A:C,3,)</f>
        <v>54</v>
      </c>
      <c r="F66">
        <f>VLOOKUP(A66,MAU!A:C,3,)</f>
        <v>257</v>
      </c>
      <c r="G66" s="4">
        <f t="shared" ref="G66:G129" si="3">D66/E66</f>
        <v>0.14814814814814814</v>
      </c>
      <c r="H66" s="5">
        <f t="shared" ref="H66:H129" si="4">D66/F66</f>
        <v>3.1128404669260701E-2</v>
      </c>
    </row>
    <row r="67" spans="1:25" x14ac:dyDescent="0.25">
      <c r="A67">
        <f t="shared" ref="A67:A130" si="5">MONTH(C67)</f>
        <v>9</v>
      </c>
      <c r="B67">
        <f>_xlfn.ISOWEEKNUM(C67)</f>
        <v>35</v>
      </c>
      <c r="C67" s="10">
        <v>44808</v>
      </c>
      <c r="D67">
        <v>9</v>
      </c>
      <c r="E67">
        <f>VLOOKUP(B67,WAU!A:C,3,)</f>
        <v>54</v>
      </c>
      <c r="F67">
        <f>VLOOKUP(A67,MAU!A:C,3,)</f>
        <v>257</v>
      </c>
      <c r="G67" s="4">
        <f t="shared" si="3"/>
        <v>0.16666666666666666</v>
      </c>
      <c r="H67" s="5">
        <f t="shared" si="4"/>
        <v>3.5019455252918288E-2</v>
      </c>
    </row>
    <row r="68" spans="1:25" x14ac:dyDescent="0.25">
      <c r="A68">
        <f t="shared" si="5"/>
        <v>9</v>
      </c>
      <c r="B68">
        <f>_xlfn.ISOWEEKNUM(C68)</f>
        <v>36</v>
      </c>
      <c r="C68" s="10">
        <v>44809</v>
      </c>
      <c r="D68">
        <v>14</v>
      </c>
      <c r="E68">
        <f>VLOOKUP(B68,WAU!A:C,3,)</f>
        <v>57</v>
      </c>
      <c r="F68">
        <f>VLOOKUP(A68,MAU!A:C,3,)</f>
        <v>257</v>
      </c>
      <c r="G68" s="4">
        <f t="shared" si="3"/>
        <v>0.24561403508771928</v>
      </c>
      <c r="H68" s="5">
        <f t="shared" si="4"/>
        <v>5.4474708171206226E-2</v>
      </c>
    </row>
    <row r="69" spans="1:25" x14ac:dyDescent="0.25">
      <c r="A69">
        <f t="shared" si="5"/>
        <v>9</v>
      </c>
      <c r="B69">
        <f>_xlfn.ISOWEEKNUM(C69)</f>
        <v>36</v>
      </c>
      <c r="C69" s="10">
        <v>44810</v>
      </c>
      <c r="D69">
        <v>6</v>
      </c>
      <c r="E69">
        <f>VLOOKUP(B69,WAU!A:C,3,)</f>
        <v>57</v>
      </c>
      <c r="F69">
        <f>VLOOKUP(A69,MAU!A:C,3,)</f>
        <v>257</v>
      </c>
      <c r="G69" s="4">
        <f t="shared" si="3"/>
        <v>0.10526315789473684</v>
      </c>
      <c r="H69" s="5">
        <f t="shared" si="4"/>
        <v>2.3346303501945526E-2</v>
      </c>
    </row>
    <row r="70" spans="1:25" x14ac:dyDescent="0.25">
      <c r="A70">
        <f t="shared" si="5"/>
        <v>9</v>
      </c>
      <c r="B70">
        <f>_xlfn.ISOWEEKNUM(C70)</f>
        <v>36</v>
      </c>
      <c r="C70" s="10">
        <v>44811</v>
      </c>
      <c r="D70">
        <v>9</v>
      </c>
      <c r="E70">
        <f>VLOOKUP(B70,WAU!A:C,3,)</f>
        <v>57</v>
      </c>
      <c r="F70">
        <f>VLOOKUP(A70,MAU!A:C,3,)</f>
        <v>257</v>
      </c>
      <c r="G70" s="4">
        <f t="shared" si="3"/>
        <v>0.15789473684210525</v>
      </c>
      <c r="H70" s="5">
        <f t="shared" si="4"/>
        <v>3.5019455252918288E-2</v>
      </c>
    </row>
    <row r="71" spans="1:25" x14ac:dyDescent="0.25">
      <c r="A71">
        <f t="shared" si="5"/>
        <v>9</v>
      </c>
      <c r="B71">
        <f>_xlfn.ISOWEEKNUM(C71)</f>
        <v>36</v>
      </c>
      <c r="C71" s="10">
        <v>44812</v>
      </c>
      <c r="D71">
        <v>7</v>
      </c>
      <c r="E71">
        <f>VLOOKUP(B71,WAU!A:C,3,)</f>
        <v>57</v>
      </c>
      <c r="F71">
        <f>VLOOKUP(A71,MAU!A:C,3,)</f>
        <v>257</v>
      </c>
      <c r="G71" s="4">
        <f t="shared" si="3"/>
        <v>0.12280701754385964</v>
      </c>
      <c r="H71" s="5">
        <f t="shared" si="4"/>
        <v>2.7237354085603113E-2</v>
      </c>
    </row>
    <row r="72" spans="1:25" x14ac:dyDescent="0.25">
      <c r="A72">
        <f t="shared" si="5"/>
        <v>9</v>
      </c>
      <c r="B72">
        <f>_xlfn.ISOWEEKNUM(C72)</f>
        <v>36</v>
      </c>
      <c r="C72" s="10">
        <v>44813</v>
      </c>
      <c r="D72">
        <v>6</v>
      </c>
      <c r="E72">
        <f>VLOOKUP(B72,WAU!A:C,3,)</f>
        <v>57</v>
      </c>
      <c r="F72">
        <f>VLOOKUP(A72,MAU!A:C,3,)</f>
        <v>257</v>
      </c>
      <c r="G72" s="4">
        <f t="shared" si="3"/>
        <v>0.10526315789473684</v>
      </c>
      <c r="H72" s="5">
        <f t="shared" si="4"/>
        <v>2.3346303501945526E-2</v>
      </c>
    </row>
    <row r="73" spans="1:25" x14ac:dyDescent="0.25">
      <c r="A73">
        <f t="shared" si="5"/>
        <v>9</v>
      </c>
      <c r="B73">
        <f>_xlfn.ISOWEEKNUM(C73)</f>
        <v>36</v>
      </c>
      <c r="C73" s="10">
        <v>44814</v>
      </c>
      <c r="D73">
        <v>10</v>
      </c>
      <c r="E73">
        <f>VLOOKUP(B73,WAU!A:C,3,)</f>
        <v>57</v>
      </c>
      <c r="F73">
        <f>VLOOKUP(A73,MAU!A:C,3,)</f>
        <v>257</v>
      </c>
      <c r="G73" s="4">
        <f t="shared" si="3"/>
        <v>0.17543859649122806</v>
      </c>
      <c r="H73" s="5">
        <f t="shared" si="4"/>
        <v>3.8910505836575876E-2</v>
      </c>
    </row>
    <row r="74" spans="1:25" x14ac:dyDescent="0.25">
      <c r="A74">
        <f t="shared" si="5"/>
        <v>9</v>
      </c>
      <c r="B74">
        <f>_xlfn.ISOWEEKNUM(C74)</f>
        <v>36</v>
      </c>
      <c r="C74" s="10">
        <v>44815</v>
      </c>
      <c r="D74">
        <v>5</v>
      </c>
      <c r="E74">
        <f>VLOOKUP(B74,WAU!A:C,3,)</f>
        <v>57</v>
      </c>
      <c r="F74">
        <f>VLOOKUP(A74,MAU!A:C,3,)</f>
        <v>257</v>
      </c>
      <c r="G74" s="4">
        <f t="shared" si="3"/>
        <v>8.771929824561403E-2</v>
      </c>
      <c r="H74" s="5">
        <f t="shared" si="4"/>
        <v>1.9455252918287938E-2</v>
      </c>
    </row>
    <row r="75" spans="1:25" ht="15.75" x14ac:dyDescent="0.25">
      <c r="A75">
        <f t="shared" si="5"/>
        <v>9</v>
      </c>
      <c r="B75">
        <f>_xlfn.ISOWEEKNUM(C75)</f>
        <v>37</v>
      </c>
      <c r="C75" s="10">
        <v>44816</v>
      </c>
      <c r="D75">
        <v>8</v>
      </c>
      <c r="E75">
        <f>VLOOKUP(B75,WAU!A:C,3,)</f>
        <v>74</v>
      </c>
      <c r="F75">
        <f>VLOOKUP(A75,MAU!A:C,3,)</f>
        <v>257</v>
      </c>
      <c r="G75" s="4">
        <f t="shared" si="3"/>
        <v>0.10810810810810811</v>
      </c>
      <c r="H75" s="5">
        <f t="shared" si="4"/>
        <v>3.1128404669260701E-2</v>
      </c>
      <c r="J75" s="7" t="s">
        <v>11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.75" x14ac:dyDescent="0.25">
      <c r="A76">
        <f t="shared" si="5"/>
        <v>9</v>
      </c>
      <c r="B76">
        <f>_xlfn.ISOWEEKNUM(C76)</f>
        <v>37</v>
      </c>
      <c r="C76" s="10">
        <v>44817</v>
      </c>
      <c r="D76">
        <v>9</v>
      </c>
      <c r="E76">
        <f>VLOOKUP(B76,WAU!A:C,3,)</f>
        <v>74</v>
      </c>
      <c r="F76">
        <f>VLOOKUP(A76,MAU!A:C,3,)</f>
        <v>257</v>
      </c>
      <c r="G76" s="4">
        <f t="shared" si="3"/>
        <v>0.12162162162162163</v>
      </c>
      <c r="H76" s="5">
        <f t="shared" si="4"/>
        <v>3.5019455252918288E-2</v>
      </c>
      <c r="J76" s="7" t="s">
        <v>12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.75" x14ac:dyDescent="0.25">
      <c r="A77">
        <f t="shared" si="5"/>
        <v>9</v>
      </c>
      <c r="B77">
        <f>_xlfn.ISOWEEKNUM(C77)</f>
        <v>37</v>
      </c>
      <c r="C77" s="10">
        <v>44818</v>
      </c>
      <c r="D77">
        <v>10</v>
      </c>
      <c r="E77">
        <f>VLOOKUP(B77,WAU!A:C,3,)</f>
        <v>74</v>
      </c>
      <c r="F77">
        <f>VLOOKUP(A77,MAU!A:C,3,)</f>
        <v>257</v>
      </c>
      <c r="G77" s="4">
        <f t="shared" si="3"/>
        <v>0.13513513513513514</v>
      </c>
      <c r="H77" s="5">
        <f t="shared" si="4"/>
        <v>3.8910505836575876E-2</v>
      </c>
      <c r="J77" s="7" t="s">
        <v>13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x14ac:dyDescent="0.25">
      <c r="A78">
        <f t="shared" si="5"/>
        <v>9</v>
      </c>
      <c r="B78">
        <f>_xlfn.ISOWEEKNUM(C78)</f>
        <v>37</v>
      </c>
      <c r="C78" s="10">
        <v>44819</v>
      </c>
      <c r="D78">
        <v>13</v>
      </c>
      <c r="E78">
        <f>VLOOKUP(B78,WAU!A:C,3,)</f>
        <v>74</v>
      </c>
      <c r="F78">
        <f>VLOOKUP(A78,MAU!A:C,3,)</f>
        <v>257</v>
      </c>
      <c r="G78" s="4">
        <f t="shared" si="3"/>
        <v>0.17567567567567569</v>
      </c>
      <c r="H78" s="5">
        <f t="shared" si="4"/>
        <v>5.0583657587548639E-2</v>
      </c>
    </row>
    <row r="79" spans="1:25" x14ac:dyDescent="0.25">
      <c r="A79">
        <f t="shared" si="5"/>
        <v>9</v>
      </c>
      <c r="B79">
        <f>_xlfn.ISOWEEKNUM(C79)</f>
        <v>37</v>
      </c>
      <c r="C79" s="10">
        <v>44820</v>
      </c>
      <c r="D79">
        <v>16</v>
      </c>
      <c r="E79">
        <f>VLOOKUP(B79,WAU!A:C,3,)</f>
        <v>74</v>
      </c>
      <c r="F79">
        <f>VLOOKUP(A79,MAU!A:C,3,)</f>
        <v>257</v>
      </c>
      <c r="G79" s="4">
        <f t="shared" si="3"/>
        <v>0.21621621621621623</v>
      </c>
      <c r="H79" s="5">
        <f t="shared" si="4"/>
        <v>6.2256809338521402E-2</v>
      </c>
    </row>
    <row r="80" spans="1:25" x14ac:dyDescent="0.25">
      <c r="A80">
        <f t="shared" si="5"/>
        <v>9</v>
      </c>
      <c r="B80">
        <f>_xlfn.ISOWEEKNUM(C80)</f>
        <v>37</v>
      </c>
      <c r="C80" s="10">
        <v>44821</v>
      </c>
      <c r="D80">
        <v>10</v>
      </c>
      <c r="E80">
        <f>VLOOKUP(B80,WAU!A:C,3,)</f>
        <v>74</v>
      </c>
      <c r="F80">
        <f>VLOOKUP(A80,MAU!A:C,3,)</f>
        <v>257</v>
      </c>
      <c r="G80" s="4">
        <f t="shared" si="3"/>
        <v>0.13513513513513514</v>
      </c>
      <c r="H80" s="5">
        <f t="shared" si="4"/>
        <v>3.8910505836575876E-2</v>
      </c>
    </row>
    <row r="81" spans="1:40" x14ac:dyDescent="0.25">
      <c r="A81">
        <f t="shared" si="5"/>
        <v>9</v>
      </c>
      <c r="B81">
        <f>_xlfn.ISOWEEKNUM(C81)</f>
        <v>37</v>
      </c>
      <c r="C81" s="10">
        <v>44822</v>
      </c>
      <c r="D81">
        <v>8</v>
      </c>
      <c r="E81">
        <f>VLOOKUP(B81,WAU!A:C,3,)</f>
        <v>74</v>
      </c>
      <c r="F81">
        <f>VLOOKUP(A81,MAU!A:C,3,)</f>
        <v>257</v>
      </c>
      <c r="G81" s="4">
        <f t="shared" si="3"/>
        <v>0.10810810810810811</v>
      </c>
      <c r="H81" s="5">
        <f t="shared" si="4"/>
        <v>3.1128404669260701E-2</v>
      </c>
    </row>
    <row r="82" spans="1:40" x14ac:dyDescent="0.25">
      <c r="A82">
        <f t="shared" si="5"/>
        <v>9</v>
      </c>
      <c r="B82">
        <f>_xlfn.ISOWEEKNUM(C82)</f>
        <v>38</v>
      </c>
      <c r="C82" s="10">
        <v>44823</v>
      </c>
      <c r="D82">
        <v>7</v>
      </c>
      <c r="E82">
        <f>VLOOKUP(B82,WAU!A:C,3,)</f>
        <v>53</v>
      </c>
      <c r="F82">
        <f>VLOOKUP(A82,MAU!A:C,3,)</f>
        <v>257</v>
      </c>
      <c r="G82" s="4">
        <f t="shared" si="3"/>
        <v>0.13207547169811321</v>
      </c>
      <c r="H82" s="5">
        <f t="shared" si="4"/>
        <v>2.7237354085603113E-2</v>
      </c>
    </row>
    <row r="83" spans="1:40" x14ac:dyDescent="0.25">
      <c r="A83">
        <f t="shared" si="5"/>
        <v>9</v>
      </c>
      <c r="B83">
        <f>_xlfn.ISOWEEKNUM(C83)</f>
        <v>38</v>
      </c>
      <c r="C83" s="10">
        <v>44824</v>
      </c>
      <c r="D83">
        <v>4</v>
      </c>
      <c r="E83">
        <f>VLOOKUP(B83,WAU!A:C,3,)</f>
        <v>53</v>
      </c>
      <c r="F83">
        <f>VLOOKUP(A83,MAU!A:C,3,)</f>
        <v>257</v>
      </c>
      <c r="G83" s="4">
        <f t="shared" si="3"/>
        <v>7.5471698113207544E-2</v>
      </c>
      <c r="H83" s="5">
        <f t="shared" si="4"/>
        <v>1.556420233463035E-2</v>
      </c>
    </row>
    <row r="84" spans="1:40" x14ac:dyDescent="0.25">
      <c r="A84">
        <f t="shared" si="5"/>
        <v>9</v>
      </c>
      <c r="B84">
        <f>_xlfn.ISOWEEKNUM(C84)</f>
        <v>38</v>
      </c>
      <c r="C84" s="10">
        <v>44825</v>
      </c>
      <c r="D84">
        <v>9</v>
      </c>
      <c r="E84">
        <f>VLOOKUP(B84,WAU!A:C,3,)</f>
        <v>53</v>
      </c>
      <c r="F84">
        <f>VLOOKUP(A84,MAU!A:C,3,)</f>
        <v>257</v>
      </c>
      <c r="G84" s="4">
        <f t="shared" si="3"/>
        <v>0.16981132075471697</v>
      </c>
      <c r="H84" s="5">
        <f t="shared" si="4"/>
        <v>3.5019455252918288E-2</v>
      </c>
    </row>
    <row r="85" spans="1:40" x14ac:dyDescent="0.25">
      <c r="A85">
        <f t="shared" si="5"/>
        <v>9</v>
      </c>
      <c r="B85">
        <f>_xlfn.ISOWEEKNUM(C85)</f>
        <v>38</v>
      </c>
      <c r="C85" s="10">
        <v>44826</v>
      </c>
      <c r="D85">
        <v>9</v>
      </c>
      <c r="E85">
        <f>VLOOKUP(B85,WAU!A:C,3,)</f>
        <v>53</v>
      </c>
      <c r="F85">
        <f>VLOOKUP(A85,MAU!A:C,3,)</f>
        <v>257</v>
      </c>
      <c r="G85" s="4">
        <f t="shared" si="3"/>
        <v>0.16981132075471697</v>
      </c>
      <c r="H85" s="5">
        <f t="shared" si="4"/>
        <v>3.5019455252918288E-2</v>
      </c>
    </row>
    <row r="86" spans="1:40" x14ac:dyDescent="0.25">
      <c r="A86">
        <f t="shared" si="5"/>
        <v>9</v>
      </c>
      <c r="B86">
        <f>_xlfn.ISOWEEKNUM(C86)</f>
        <v>38</v>
      </c>
      <c r="C86" s="10">
        <v>44827</v>
      </c>
      <c r="D86">
        <v>7</v>
      </c>
      <c r="E86">
        <f>VLOOKUP(B86,WAU!A:C,3,)</f>
        <v>53</v>
      </c>
      <c r="F86">
        <f>VLOOKUP(A86,MAU!A:C,3,)</f>
        <v>257</v>
      </c>
      <c r="G86" s="4">
        <f t="shared" si="3"/>
        <v>0.13207547169811321</v>
      </c>
      <c r="H86" s="5">
        <f t="shared" si="4"/>
        <v>2.7237354085603113E-2</v>
      </c>
    </row>
    <row r="87" spans="1:40" x14ac:dyDescent="0.25">
      <c r="A87">
        <f t="shared" si="5"/>
        <v>9</v>
      </c>
      <c r="B87">
        <f>_xlfn.ISOWEEKNUM(C87)</f>
        <v>38</v>
      </c>
      <c r="C87" s="10">
        <v>44828</v>
      </c>
      <c r="D87">
        <v>11</v>
      </c>
      <c r="E87">
        <f>VLOOKUP(B87,WAU!A:C,3,)</f>
        <v>53</v>
      </c>
      <c r="F87">
        <f>VLOOKUP(A87,MAU!A:C,3,)</f>
        <v>257</v>
      </c>
      <c r="G87" s="4">
        <f t="shared" si="3"/>
        <v>0.20754716981132076</v>
      </c>
      <c r="H87" s="5">
        <f t="shared" si="4"/>
        <v>4.2801556420233464E-2</v>
      </c>
    </row>
    <row r="88" spans="1:40" x14ac:dyDescent="0.25">
      <c r="A88">
        <f t="shared" si="5"/>
        <v>9</v>
      </c>
      <c r="B88">
        <f>_xlfn.ISOWEEKNUM(C88)</f>
        <v>38</v>
      </c>
      <c r="C88" s="10">
        <v>44829</v>
      </c>
      <c r="D88">
        <v>6</v>
      </c>
      <c r="E88">
        <f>VLOOKUP(B88,WAU!A:C,3,)</f>
        <v>53</v>
      </c>
      <c r="F88">
        <f>VLOOKUP(A88,MAU!A:C,3,)</f>
        <v>257</v>
      </c>
      <c r="G88" s="4">
        <f t="shared" si="3"/>
        <v>0.11320754716981132</v>
      </c>
      <c r="H88" s="5">
        <f t="shared" si="4"/>
        <v>2.3346303501945526E-2</v>
      </c>
    </row>
    <row r="89" spans="1:40" x14ac:dyDescent="0.25">
      <c r="A89">
        <f t="shared" si="5"/>
        <v>9</v>
      </c>
      <c r="B89">
        <f>_xlfn.ISOWEEKNUM(C89)</f>
        <v>39</v>
      </c>
      <c r="C89" s="10">
        <v>44830</v>
      </c>
      <c r="D89">
        <v>7</v>
      </c>
      <c r="E89">
        <f>VLOOKUP(B89,WAU!A:C,3,)</f>
        <v>61</v>
      </c>
      <c r="F89">
        <f>VLOOKUP(A89,MAU!A:C,3,)</f>
        <v>257</v>
      </c>
      <c r="G89" s="4">
        <f t="shared" si="3"/>
        <v>0.11475409836065574</v>
      </c>
      <c r="H89" s="5">
        <f t="shared" si="4"/>
        <v>2.7237354085603113E-2</v>
      </c>
    </row>
    <row r="90" spans="1:40" x14ac:dyDescent="0.25">
      <c r="A90">
        <f t="shared" si="5"/>
        <v>9</v>
      </c>
      <c r="B90">
        <f>_xlfn.ISOWEEKNUM(C90)</f>
        <v>39</v>
      </c>
      <c r="C90" s="10">
        <v>44831</v>
      </c>
      <c r="D90">
        <v>8</v>
      </c>
      <c r="E90">
        <f>VLOOKUP(B90,WAU!A:C,3,)</f>
        <v>61</v>
      </c>
      <c r="F90">
        <f>VLOOKUP(A90,MAU!A:C,3,)</f>
        <v>257</v>
      </c>
      <c r="G90" s="4">
        <f t="shared" si="3"/>
        <v>0.13114754098360656</v>
      </c>
      <c r="H90" s="5">
        <f t="shared" si="4"/>
        <v>3.1128404669260701E-2</v>
      </c>
    </row>
    <row r="91" spans="1:40" x14ac:dyDescent="0.25">
      <c r="A91">
        <f t="shared" si="5"/>
        <v>9</v>
      </c>
      <c r="B91">
        <f>_xlfn.ISOWEEKNUM(C91)</f>
        <v>39</v>
      </c>
      <c r="C91" s="10">
        <v>44832</v>
      </c>
      <c r="D91">
        <v>6</v>
      </c>
      <c r="E91">
        <f>VLOOKUP(B91,WAU!A:C,3,)</f>
        <v>61</v>
      </c>
      <c r="F91">
        <f>VLOOKUP(A91,MAU!A:C,3,)</f>
        <v>257</v>
      </c>
      <c r="G91" s="4">
        <f t="shared" si="3"/>
        <v>9.8360655737704916E-2</v>
      </c>
      <c r="H91" s="5">
        <f t="shared" si="4"/>
        <v>2.3346303501945526E-2</v>
      </c>
    </row>
    <row r="92" spans="1:40" ht="15.75" x14ac:dyDescent="0.25">
      <c r="A92">
        <f t="shared" si="5"/>
        <v>9</v>
      </c>
      <c r="B92">
        <f>_xlfn.ISOWEEKNUM(C92)</f>
        <v>39</v>
      </c>
      <c r="C92" s="10">
        <v>44833</v>
      </c>
      <c r="D92">
        <v>11</v>
      </c>
      <c r="E92">
        <f>VLOOKUP(B92,WAU!A:C,3,)</f>
        <v>61</v>
      </c>
      <c r="F92">
        <f>VLOOKUP(A92,MAU!A:C,3,)</f>
        <v>257</v>
      </c>
      <c r="G92" s="4">
        <f t="shared" si="3"/>
        <v>0.18032786885245902</v>
      </c>
      <c r="H92" s="5">
        <f t="shared" si="4"/>
        <v>4.2801556420233464E-2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9"/>
    </row>
    <row r="93" spans="1:40" ht="15.75" x14ac:dyDescent="0.25">
      <c r="A93">
        <f t="shared" si="5"/>
        <v>9</v>
      </c>
      <c r="B93">
        <f>_xlfn.ISOWEEKNUM(C93)</f>
        <v>39</v>
      </c>
      <c r="C93" s="10">
        <v>44834</v>
      </c>
      <c r="D93">
        <v>6</v>
      </c>
      <c r="E93">
        <f>VLOOKUP(B93,WAU!A:C,3,)</f>
        <v>61</v>
      </c>
      <c r="F93">
        <f>VLOOKUP(A93,MAU!A:C,3,)</f>
        <v>257</v>
      </c>
      <c r="G93" s="4">
        <f t="shared" si="3"/>
        <v>9.8360655737704916E-2</v>
      </c>
      <c r="H93" s="5">
        <f t="shared" si="4"/>
        <v>2.3346303501945526E-2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9"/>
    </row>
    <row r="94" spans="1:40" x14ac:dyDescent="0.25">
      <c r="A94">
        <f t="shared" si="5"/>
        <v>10</v>
      </c>
      <c r="B94">
        <f>_xlfn.ISOWEEKNUM(C94)</f>
        <v>39</v>
      </c>
      <c r="C94" s="10">
        <v>44835</v>
      </c>
      <c r="D94">
        <v>18</v>
      </c>
      <c r="E94">
        <f>VLOOKUP(B94,WAU!A:C,3,)</f>
        <v>61</v>
      </c>
      <c r="F94">
        <f>VLOOKUP(A94,MAU!A:C,3,)</f>
        <v>263</v>
      </c>
      <c r="G94" s="4">
        <f t="shared" si="3"/>
        <v>0.29508196721311475</v>
      </c>
      <c r="H94" s="5">
        <f t="shared" si="4"/>
        <v>6.8441064638783272E-2</v>
      </c>
    </row>
    <row r="95" spans="1:40" x14ac:dyDescent="0.25">
      <c r="A95">
        <f t="shared" si="5"/>
        <v>10</v>
      </c>
      <c r="B95">
        <f>_xlfn.ISOWEEKNUM(C95)</f>
        <v>39</v>
      </c>
      <c r="C95" s="10">
        <v>44836</v>
      </c>
      <c r="D95">
        <v>5</v>
      </c>
      <c r="E95">
        <f>VLOOKUP(B95,WAU!A:C,3,)</f>
        <v>61</v>
      </c>
      <c r="F95">
        <f>VLOOKUP(A95,MAU!A:C,3,)</f>
        <v>263</v>
      </c>
      <c r="G95" s="4">
        <f t="shared" si="3"/>
        <v>8.1967213114754092E-2</v>
      </c>
      <c r="H95" s="5">
        <f t="shared" si="4"/>
        <v>1.9011406844106463E-2</v>
      </c>
    </row>
    <row r="96" spans="1:40" x14ac:dyDescent="0.25">
      <c r="A96">
        <f t="shared" si="5"/>
        <v>10</v>
      </c>
      <c r="B96">
        <f>_xlfn.ISOWEEKNUM(C96)</f>
        <v>40</v>
      </c>
      <c r="C96" s="10">
        <v>44837</v>
      </c>
      <c r="D96">
        <v>9</v>
      </c>
      <c r="E96">
        <f>VLOOKUP(B96,WAU!A:C,3,)</f>
        <v>44</v>
      </c>
      <c r="F96">
        <f>VLOOKUP(A96,MAU!A:C,3,)</f>
        <v>263</v>
      </c>
      <c r="G96" s="4">
        <f t="shared" si="3"/>
        <v>0.20454545454545456</v>
      </c>
      <c r="H96" s="5">
        <f t="shared" si="4"/>
        <v>3.4220532319391636E-2</v>
      </c>
    </row>
    <row r="97" spans="1:8" x14ac:dyDescent="0.25">
      <c r="A97">
        <f t="shared" si="5"/>
        <v>10</v>
      </c>
      <c r="B97">
        <f>_xlfn.ISOWEEKNUM(C97)</f>
        <v>40</v>
      </c>
      <c r="C97" s="10">
        <v>44838</v>
      </c>
      <c r="D97">
        <v>6</v>
      </c>
      <c r="E97">
        <f>VLOOKUP(B97,WAU!A:C,3,)</f>
        <v>44</v>
      </c>
      <c r="F97">
        <f>VLOOKUP(A97,MAU!A:C,3,)</f>
        <v>263</v>
      </c>
      <c r="G97" s="4">
        <f t="shared" si="3"/>
        <v>0.13636363636363635</v>
      </c>
      <c r="H97" s="5">
        <f t="shared" si="4"/>
        <v>2.2813688212927757E-2</v>
      </c>
    </row>
    <row r="98" spans="1:8" x14ac:dyDescent="0.25">
      <c r="A98">
        <f t="shared" si="5"/>
        <v>10</v>
      </c>
      <c r="B98">
        <f>_xlfn.ISOWEEKNUM(C98)</f>
        <v>40</v>
      </c>
      <c r="C98" s="10">
        <v>44839</v>
      </c>
      <c r="D98">
        <v>5</v>
      </c>
      <c r="E98">
        <f>VLOOKUP(B98,WAU!A:C,3,)</f>
        <v>44</v>
      </c>
      <c r="F98">
        <f>VLOOKUP(A98,MAU!A:C,3,)</f>
        <v>263</v>
      </c>
      <c r="G98" s="4">
        <f t="shared" si="3"/>
        <v>0.11363636363636363</v>
      </c>
      <c r="H98" s="5">
        <f t="shared" si="4"/>
        <v>1.9011406844106463E-2</v>
      </c>
    </row>
    <row r="99" spans="1:8" x14ac:dyDescent="0.25">
      <c r="A99">
        <f t="shared" si="5"/>
        <v>10</v>
      </c>
      <c r="B99">
        <f>_xlfn.ISOWEEKNUM(C99)</f>
        <v>40</v>
      </c>
      <c r="C99" s="10">
        <v>44840</v>
      </c>
      <c r="D99">
        <v>9</v>
      </c>
      <c r="E99">
        <f>VLOOKUP(B99,WAU!A:C,3,)</f>
        <v>44</v>
      </c>
      <c r="F99">
        <f>VLOOKUP(A99,MAU!A:C,3,)</f>
        <v>263</v>
      </c>
      <c r="G99" s="4">
        <f t="shared" si="3"/>
        <v>0.20454545454545456</v>
      </c>
      <c r="H99" s="5">
        <f t="shared" si="4"/>
        <v>3.4220532319391636E-2</v>
      </c>
    </row>
    <row r="100" spans="1:8" x14ac:dyDescent="0.25">
      <c r="A100">
        <f t="shared" si="5"/>
        <v>10</v>
      </c>
      <c r="B100">
        <f>_xlfn.ISOWEEKNUM(C100)</f>
        <v>40</v>
      </c>
      <c r="C100" s="10">
        <v>44841</v>
      </c>
      <c r="D100">
        <v>7</v>
      </c>
      <c r="E100">
        <f>VLOOKUP(B100,WAU!A:C,3,)</f>
        <v>44</v>
      </c>
      <c r="F100">
        <f>VLOOKUP(A100,MAU!A:C,3,)</f>
        <v>263</v>
      </c>
      <c r="G100" s="4">
        <f t="shared" si="3"/>
        <v>0.15909090909090909</v>
      </c>
      <c r="H100" s="5">
        <f t="shared" si="4"/>
        <v>2.6615969581749048E-2</v>
      </c>
    </row>
    <row r="101" spans="1:8" x14ac:dyDescent="0.25">
      <c r="A101">
        <f t="shared" si="5"/>
        <v>10</v>
      </c>
      <c r="B101">
        <f>_xlfn.ISOWEEKNUM(C101)</f>
        <v>40</v>
      </c>
      <c r="C101" s="10">
        <v>44842</v>
      </c>
      <c r="D101">
        <v>4</v>
      </c>
      <c r="E101">
        <f>VLOOKUP(B101,WAU!A:C,3,)</f>
        <v>44</v>
      </c>
      <c r="F101">
        <f>VLOOKUP(A101,MAU!A:C,3,)</f>
        <v>263</v>
      </c>
      <c r="G101" s="4">
        <f t="shared" si="3"/>
        <v>9.0909090909090912E-2</v>
      </c>
      <c r="H101" s="5">
        <f t="shared" si="4"/>
        <v>1.5209125475285171E-2</v>
      </c>
    </row>
    <row r="102" spans="1:8" x14ac:dyDescent="0.25">
      <c r="A102">
        <f t="shared" si="5"/>
        <v>10</v>
      </c>
      <c r="B102">
        <f>_xlfn.ISOWEEKNUM(C102)</f>
        <v>40</v>
      </c>
      <c r="C102" s="10">
        <v>44843</v>
      </c>
      <c r="D102">
        <v>4</v>
      </c>
      <c r="E102">
        <f>VLOOKUP(B102,WAU!A:C,3,)</f>
        <v>44</v>
      </c>
      <c r="F102">
        <f>VLOOKUP(A102,MAU!A:C,3,)</f>
        <v>263</v>
      </c>
      <c r="G102" s="4">
        <f t="shared" si="3"/>
        <v>9.0909090909090912E-2</v>
      </c>
      <c r="H102" s="5">
        <f t="shared" si="4"/>
        <v>1.5209125475285171E-2</v>
      </c>
    </row>
    <row r="103" spans="1:8" x14ac:dyDescent="0.25">
      <c r="A103">
        <f t="shared" si="5"/>
        <v>10</v>
      </c>
      <c r="B103">
        <f>_xlfn.ISOWEEKNUM(C103)</f>
        <v>41</v>
      </c>
      <c r="C103" s="10">
        <v>44844</v>
      </c>
      <c r="D103">
        <v>7</v>
      </c>
      <c r="E103">
        <f>VLOOKUP(B103,WAU!A:C,3,)</f>
        <v>64</v>
      </c>
      <c r="F103">
        <f>VLOOKUP(A103,MAU!A:C,3,)</f>
        <v>263</v>
      </c>
      <c r="G103" s="4">
        <f t="shared" si="3"/>
        <v>0.109375</v>
      </c>
      <c r="H103" s="5">
        <f t="shared" si="4"/>
        <v>2.6615969581749048E-2</v>
      </c>
    </row>
    <row r="104" spans="1:8" x14ac:dyDescent="0.25">
      <c r="A104">
        <f t="shared" si="5"/>
        <v>10</v>
      </c>
      <c r="B104">
        <f>_xlfn.ISOWEEKNUM(C104)</f>
        <v>41</v>
      </c>
      <c r="C104" s="10">
        <v>44845</v>
      </c>
      <c r="D104">
        <v>7</v>
      </c>
      <c r="E104">
        <f>VLOOKUP(B104,WAU!A:C,3,)</f>
        <v>64</v>
      </c>
      <c r="F104">
        <f>VLOOKUP(A104,MAU!A:C,3,)</f>
        <v>263</v>
      </c>
      <c r="G104" s="4">
        <f t="shared" si="3"/>
        <v>0.109375</v>
      </c>
      <c r="H104" s="5">
        <f t="shared" si="4"/>
        <v>2.6615969581749048E-2</v>
      </c>
    </row>
    <row r="105" spans="1:8" x14ac:dyDescent="0.25">
      <c r="A105">
        <f t="shared" si="5"/>
        <v>10</v>
      </c>
      <c r="B105">
        <f>_xlfn.ISOWEEKNUM(C105)</f>
        <v>41</v>
      </c>
      <c r="C105" s="10">
        <v>44846</v>
      </c>
      <c r="D105">
        <v>14</v>
      </c>
      <c r="E105">
        <f>VLOOKUP(B105,WAU!A:C,3,)</f>
        <v>64</v>
      </c>
      <c r="F105">
        <f>VLOOKUP(A105,MAU!A:C,3,)</f>
        <v>263</v>
      </c>
      <c r="G105" s="4">
        <f t="shared" si="3"/>
        <v>0.21875</v>
      </c>
      <c r="H105" s="5">
        <f t="shared" si="4"/>
        <v>5.3231939163498096E-2</v>
      </c>
    </row>
    <row r="106" spans="1:8" x14ac:dyDescent="0.25">
      <c r="A106">
        <f t="shared" si="5"/>
        <v>10</v>
      </c>
      <c r="B106">
        <f>_xlfn.ISOWEEKNUM(C106)</f>
        <v>41</v>
      </c>
      <c r="C106" s="10">
        <v>44847</v>
      </c>
      <c r="D106">
        <v>11</v>
      </c>
      <c r="E106">
        <f>VLOOKUP(B106,WAU!A:C,3,)</f>
        <v>64</v>
      </c>
      <c r="F106">
        <f>VLOOKUP(A106,MAU!A:C,3,)</f>
        <v>263</v>
      </c>
      <c r="G106" s="4">
        <f t="shared" si="3"/>
        <v>0.171875</v>
      </c>
      <c r="H106" s="5">
        <f t="shared" si="4"/>
        <v>4.1825095057034217E-2</v>
      </c>
    </row>
    <row r="107" spans="1:8" x14ac:dyDescent="0.25">
      <c r="A107">
        <f t="shared" si="5"/>
        <v>10</v>
      </c>
      <c r="B107">
        <f>_xlfn.ISOWEEKNUM(C107)</f>
        <v>41</v>
      </c>
      <c r="C107" s="10">
        <v>44848</v>
      </c>
      <c r="D107">
        <v>8</v>
      </c>
      <c r="E107">
        <f>VLOOKUP(B107,WAU!A:C,3,)</f>
        <v>64</v>
      </c>
      <c r="F107">
        <f>VLOOKUP(A107,MAU!A:C,3,)</f>
        <v>263</v>
      </c>
      <c r="G107" s="4">
        <f t="shared" si="3"/>
        <v>0.125</v>
      </c>
      <c r="H107" s="5">
        <f t="shared" si="4"/>
        <v>3.0418250950570342E-2</v>
      </c>
    </row>
    <row r="108" spans="1:8" x14ac:dyDescent="0.25">
      <c r="A108">
        <f t="shared" si="5"/>
        <v>10</v>
      </c>
      <c r="B108">
        <f>_xlfn.ISOWEEKNUM(C108)</f>
        <v>41</v>
      </c>
      <c r="C108" s="10">
        <v>44849</v>
      </c>
      <c r="D108">
        <v>6</v>
      </c>
      <c r="E108">
        <f>VLOOKUP(B108,WAU!A:C,3,)</f>
        <v>64</v>
      </c>
      <c r="F108">
        <f>VLOOKUP(A108,MAU!A:C,3,)</f>
        <v>263</v>
      </c>
      <c r="G108" s="4">
        <f t="shared" si="3"/>
        <v>9.375E-2</v>
      </c>
      <c r="H108" s="5">
        <f t="shared" si="4"/>
        <v>2.2813688212927757E-2</v>
      </c>
    </row>
    <row r="109" spans="1:8" x14ac:dyDescent="0.25">
      <c r="A109">
        <f t="shared" si="5"/>
        <v>10</v>
      </c>
      <c r="B109">
        <f>_xlfn.ISOWEEKNUM(C109)</f>
        <v>41</v>
      </c>
      <c r="C109" s="10">
        <v>44850</v>
      </c>
      <c r="D109">
        <v>11</v>
      </c>
      <c r="E109">
        <f>VLOOKUP(B109,WAU!A:C,3,)</f>
        <v>64</v>
      </c>
      <c r="F109">
        <f>VLOOKUP(A109,MAU!A:C,3,)</f>
        <v>263</v>
      </c>
      <c r="G109" s="4">
        <f t="shared" si="3"/>
        <v>0.171875</v>
      </c>
      <c r="H109" s="5">
        <f t="shared" si="4"/>
        <v>4.1825095057034217E-2</v>
      </c>
    </row>
    <row r="110" spans="1:8" x14ac:dyDescent="0.25">
      <c r="A110">
        <f t="shared" si="5"/>
        <v>10</v>
      </c>
      <c r="B110">
        <f>_xlfn.ISOWEEKNUM(C110)</f>
        <v>42</v>
      </c>
      <c r="C110" s="10">
        <v>44851</v>
      </c>
      <c r="D110">
        <v>8</v>
      </c>
      <c r="E110">
        <f>VLOOKUP(B110,WAU!A:C,3,)</f>
        <v>57</v>
      </c>
      <c r="F110">
        <f>VLOOKUP(A110,MAU!A:C,3,)</f>
        <v>263</v>
      </c>
      <c r="G110" s="4">
        <f t="shared" si="3"/>
        <v>0.14035087719298245</v>
      </c>
      <c r="H110" s="5">
        <f t="shared" si="4"/>
        <v>3.0418250950570342E-2</v>
      </c>
    </row>
    <row r="111" spans="1:8" x14ac:dyDescent="0.25">
      <c r="A111">
        <f t="shared" si="5"/>
        <v>10</v>
      </c>
      <c r="B111">
        <f>_xlfn.ISOWEEKNUM(C111)</f>
        <v>42</v>
      </c>
      <c r="C111" s="10">
        <v>44852</v>
      </c>
      <c r="D111">
        <v>10</v>
      </c>
      <c r="E111">
        <f>VLOOKUP(B111,WAU!A:C,3,)</f>
        <v>57</v>
      </c>
      <c r="F111">
        <f>VLOOKUP(A111,MAU!A:C,3,)</f>
        <v>263</v>
      </c>
      <c r="G111" s="4">
        <f t="shared" si="3"/>
        <v>0.17543859649122806</v>
      </c>
      <c r="H111" s="5">
        <f t="shared" si="4"/>
        <v>3.8022813688212927E-2</v>
      </c>
    </row>
    <row r="112" spans="1:8" x14ac:dyDescent="0.25">
      <c r="A112">
        <f t="shared" si="5"/>
        <v>10</v>
      </c>
      <c r="B112">
        <f>_xlfn.ISOWEEKNUM(C112)</f>
        <v>42</v>
      </c>
      <c r="C112" s="10">
        <v>44853</v>
      </c>
      <c r="D112">
        <v>8</v>
      </c>
      <c r="E112">
        <f>VLOOKUP(B112,WAU!A:C,3,)</f>
        <v>57</v>
      </c>
      <c r="F112">
        <f>VLOOKUP(A112,MAU!A:C,3,)</f>
        <v>263</v>
      </c>
      <c r="G112" s="4">
        <f t="shared" si="3"/>
        <v>0.14035087719298245</v>
      </c>
      <c r="H112" s="5">
        <f t="shared" si="4"/>
        <v>3.0418250950570342E-2</v>
      </c>
    </row>
    <row r="113" spans="1:8" x14ac:dyDescent="0.25">
      <c r="A113">
        <f t="shared" si="5"/>
        <v>10</v>
      </c>
      <c r="B113">
        <f>_xlfn.ISOWEEKNUM(C113)</f>
        <v>42</v>
      </c>
      <c r="C113" s="10">
        <v>44854</v>
      </c>
      <c r="D113">
        <v>13</v>
      </c>
      <c r="E113">
        <f>VLOOKUP(B113,WAU!A:C,3,)</f>
        <v>57</v>
      </c>
      <c r="F113">
        <f>VLOOKUP(A113,MAU!A:C,3,)</f>
        <v>263</v>
      </c>
      <c r="G113" s="4">
        <f t="shared" si="3"/>
        <v>0.22807017543859648</v>
      </c>
      <c r="H113" s="5">
        <f t="shared" si="4"/>
        <v>4.9429657794676805E-2</v>
      </c>
    </row>
    <row r="114" spans="1:8" x14ac:dyDescent="0.25">
      <c r="A114">
        <f t="shared" si="5"/>
        <v>10</v>
      </c>
      <c r="B114">
        <f>_xlfn.ISOWEEKNUM(C114)</f>
        <v>42</v>
      </c>
      <c r="C114" s="10">
        <v>44855</v>
      </c>
      <c r="D114">
        <v>8</v>
      </c>
      <c r="E114">
        <f>VLOOKUP(B114,WAU!A:C,3,)</f>
        <v>57</v>
      </c>
      <c r="F114">
        <f>VLOOKUP(A114,MAU!A:C,3,)</f>
        <v>263</v>
      </c>
      <c r="G114" s="4">
        <f t="shared" si="3"/>
        <v>0.14035087719298245</v>
      </c>
      <c r="H114" s="5">
        <f t="shared" si="4"/>
        <v>3.0418250950570342E-2</v>
      </c>
    </row>
    <row r="115" spans="1:8" x14ac:dyDescent="0.25">
      <c r="A115">
        <f t="shared" si="5"/>
        <v>10</v>
      </c>
      <c r="B115">
        <f>_xlfn.ISOWEEKNUM(C115)</f>
        <v>42</v>
      </c>
      <c r="C115" s="10">
        <v>44856</v>
      </c>
      <c r="D115">
        <v>3</v>
      </c>
      <c r="E115">
        <f>VLOOKUP(B115,WAU!A:C,3,)</f>
        <v>57</v>
      </c>
      <c r="F115">
        <f>VLOOKUP(A115,MAU!A:C,3,)</f>
        <v>263</v>
      </c>
      <c r="G115" s="4">
        <f t="shared" si="3"/>
        <v>5.2631578947368418E-2</v>
      </c>
      <c r="H115" s="5">
        <f t="shared" si="4"/>
        <v>1.1406844106463879E-2</v>
      </c>
    </row>
    <row r="116" spans="1:8" x14ac:dyDescent="0.25">
      <c r="A116">
        <f t="shared" si="5"/>
        <v>10</v>
      </c>
      <c r="B116">
        <f>_xlfn.ISOWEEKNUM(C116)</f>
        <v>42</v>
      </c>
      <c r="C116" s="10">
        <v>44857</v>
      </c>
      <c r="D116">
        <v>7</v>
      </c>
      <c r="E116">
        <f>VLOOKUP(B116,WAU!A:C,3,)</f>
        <v>57</v>
      </c>
      <c r="F116">
        <f>VLOOKUP(A116,MAU!A:C,3,)</f>
        <v>263</v>
      </c>
      <c r="G116" s="4">
        <f t="shared" si="3"/>
        <v>0.12280701754385964</v>
      </c>
      <c r="H116" s="5">
        <f t="shared" si="4"/>
        <v>2.6615969581749048E-2</v>
      </c>
    </row>
    <row r="117" spans="1:8" x14ac:dyDescent="0.25">
      <c r="A117">
        <f t="shared" si="5"/>
        <v>10</v>
      </c>
      <c r="B117">
        <f>_xlfn.ISOWEEKNUM(C117)</f>
        <v>43</v>
      </c>
      <c r="C117" s="10">
        <v>44858</v>
      </c>
      <c r="D117">
        <v>11</v>
      </c>
      <c r="E117">
        <f>VLOOKUP(B117,WAU!A:C,3,)</f>
        <v>66</v>
      </c>
      <c r="F117">
        <f>VLOOKUP(A117,MAU!A:C,3,)</f>
        <v>263</v>
      </c>
      <c r="G117" s="4">
        <f t="shared" si="3"/>
        <v>0.16666666666666666</v>
      </c>
      <c r="H117" s="5">
        <f t="shared" si="4"/>
        <v>4.1825095057034217E-2</v>
      </c>
    </row>
    <row r="118" spans="1:8" x14ac:dyDescent="0.25">
      <c r="A118">
        <f t="shared" si="5"/>
        <v>10</v>
      </c>
      <c r="B118">
        <f>_xlfn.ISOWEEKNUM(C118)</f>
        <v>43</v>
      </c>
      <c r="C118" s="10">
        <v>44859</v>
      </c>
      <c r="D118">
        <v>11</v>
      </c>
      <c r="E118">
        <f>VLOOKUP(B118,WAU!A:C,3,)</f>
        <v>66</v>
      </c>
      <c r="F118">
        <f>VLOOKUP(A118,MAU!A:C,3,)</f>
        <v>263</v>
      </c>
      <c r="G118" s="4">
        <f t="shared" si="3"/>
        <v>0.16666666666666666</v>
      </c>
      <c r="H118" s="5">
        <f t="shared" si="4"/>
        <v>4.1825095057034217E-2</v>
      </c>
    </row>
    <row r="119" spans="1:8" x14ac:dyDescent="0.25">
      <c r="A119">
        <f t="shared" si="5"/>
        <v>10</v>
      </c>
      <c r="B119">
        <f>_xlfn.ISOWEEKNUM(C119)</f>
        <v>43</v>
      </c>
      <c r="C119" s="10">
        <v>44860</v>
      </c>
      <c r="D119">
        <v>6</v>
      </c>
      <c r="E119">
        <f>VLOOKUP(B119,WAU!A:C,3,)</f>
        <v>66</v>
      </c>
      <c r="F119">
        <f>VLOOKUP(A119,MAU!A:C,3,)</f>
        <v>263</v>
      </c>
      <c r="G119" s="4">
        <f t="shared" si="3"/>
        <v>9.0909090909090912E-2</v>
      </c>
      <c r="H119" s="5">
        <f t="shared" si="4"/>
        <v>2.2813688212927757E-2</v>
      </c>
    </row>
    <row r="120" spans="1:8" x14ac:dyDescent="0.25">
      <c r="A120">
        <f t="shared" si="5"/>
        <v>10</v>
      </c>
      <c r="B120">
        <f>_xlfn.ISOWEEKNUM(C120)</f>
        <v>43</v>
      </c>
      <c r="C120" s="10">
        <v>44861</v>
      </c>
      <c r="D120">
        <v>11</v>
      </c>
      <c r="E120">
        <f>VLOOKUP(B120,WAU!A:C,3,)</f>
        <v>66</v>
      </c>
      <c r="F120">
        <f>VLOOKUP(A120,MAU!A:C,3,)</f>
        <v>263</v>
      </c>
      <c r="G120" s="4">
        <f t="shared" si="3"/>
        <v>0.16666666666666666</v>
      </c>
      <c r="H120" s="5">
        <f t="shared" si="4"/>
        <v>4.1825095057034217E-2</v>
      </c>
    </row>
    <row r="121" spans="1:8" x14ac:dyDescent="0.25">
      <c r="A121">
        <f t="shared" si="5"/>
        <v>10</v>
      </c>
      <c r="B121">
        <f>_xlfn.ISOWEEKNUM(C121)</f>
        <v>43</v>
      </c>
      <c r="C121" s="10">
        <v>44862</v>
      </c>
      <c r="D121">
        <v>13</v>
      </c>
      <c r="E121">
        <f>VLOOKUP(B121,WAU!A:C,3,)</f>
        <v>66</v>
      </c>
      <c r="F121">
        <f>VLOOKUP(A121,MAU!A:C,3,)</f>
        <v>263</v>
      </c>
      <c r="G121" s="4">
        <f t="shared" si="3"/>
        <v>0.19696969696969696</v>
      </c>
      <c r="H121" s="5">
        <f t="shared" si="4"/>
        <v>4.9429657794676805E-2</v>
      </c>
    </row>
    <row r="122" spans="1:8" x14ac:dyDescent="0.25">
      <c r="A122">
        <f t="shared" si="5"/>
        <v>10</v>
      </c>
      <c r="B122">
        <f>_xlfn.ISOWEEKNUM(C122)</f>
        <v>43</v>
      </c>
      <c r="C122" s="10">
        <v>44863</v>
      </c>
      <c r="D122">
        <v>7</v>
      </c>
      <c r="E122">
        <f>VLOOKUP(B122,WAU!A:C,3,)</f>
        <v>66</v>
      </c>
      <c r="F122">
        <f>VLOOKUP(A122,MAU!A:C,3,)</f>
        <v>263</v>
      </c>
      <c r="G122" s="4">
        <f t="shared" si="3"/>
        <v>0.10606060606060606</v>
      </c>
      <c r="H122" s="5">
        <f t="shared" si="4"/>
        <v>2.6615969581749048E-2</v>
      </c>
    </row>
    <row r="123" spans="1:8" x14ac:dyDescent="0.25">
      <c r="A123">
        <f t="shared" si="5"/>
        <v>10</v>
      </c>
      <c r="B123">
        <f>_xlfn.ISOWEEKNUM(C123)</f>
        <v>43</v>
      </c>
      <c r="C123" s="10">
        <v>44864</v>
      </c>
      <c r="D123">
        <v>7</v>
      </c>
      <c r="E123">
        <f>VLOOKUP(B123,WAU!A:C,3,)</f>
        <v>66</v>
      </c>
      <c r="F123">
        <f>VLOOKUP(A123,MAU!A:C,3,)</f>
        <v>263</v>
      </c>
      <c r="G123" s="4">
        <f t="shared" si="3"/>
        <v>0.10606060606060606</v>
      </c>
      <c r="H123" s="5">
        <f t="shared" si="4"/>
        <v>2.6615969581749048E-2</v>
      </c>
    </row>
    <row r="124" spans="1:8" x14ac:dyDescent="0.25">
      <c r="A124">
        <f t="shared" si="5"/>
        <v>10</v>
      </c>
      <c r="B124">
        <f>_xlfn.ISOWEEKNUM(C124)</f>
        <v>44</v>
      </c>
      <c r="C124" s="10">
        <v>44865</v>
      </c>
      <c r="D124">
        <v>9</v>
      </c>
      <c r="E124">
        <f>VLOOKUP(B124,WAU!A:C,3,)</f>
        <v>59</v>
      </c>
      <c r="F124">
        <f>VLOOKUP(A124,MAU!A:C,3,)</f>
        <v>263</v>
      </c>
      <c r="G124" s="4">
        <f t="shared" si="3"/>
        <v>0.15254237288135594</v>
      </c>
      <c r="H124" s="5">
        <f t="shared" si="4"/>
        <v>3.4220532319391636E-2</v>
      </c>
    </row>
    <row r="125" spans="1:8" x14ac:dyDescent="0.25">
      <c r="A125">
        <f t="shared" si="5"/>
        <v>11</v>
      </c>
      <c r="B125">
        <f>_xlfn.ISOWEEKNUM(C125)</f>
        <v>44</v>
      </c>
      <c r="C125" s="10">
        <v>44866</v>
      </c>
      <c r="D125">
        <v>7</v>
      </c>
      <c r="E125">
        <f>VLOOKUP(B125,WAU!A:C,3,)</f>
        <v>59</v>
      </c>
      <c r="F125">
        <f>VLOOKUP(A125,MAU!A:C,3,)</f>
        <v>255</v>
      </c>
      <c r="G125" s="4">
        <f t="shared" si="3"/>
        <v>0.11864406779661017</v>
      </c>
      <c r="H125" s="5">
        <f t="shared" si="4"/>
        <v>2.7450980392156862E-2</v>
      </c>
    </row>
    <row r="126" spans="1:8" x14ac:dyDescent="0.25">
      <c r="A126">
        <f t="shared" si="5"/>
        <v>11</v>
      </c>
      <c r="B126">
        <f>_xlfn.ISOWEEKNUM(C126)</f>
        <v>44</v>
      </c>
      <c r="C126" s="10">
        <v>44867</v>
      </c>
      <c r="D126">
        <v>6</v>
      </c>
      <c r="E126">
        <f>VLOOKUP(B126,WAU!A:C,3,)</f>
        <v>59</v>
      </c>
      <c r="F126">
        <f>VLOOKUP(A126,MAU!A:C,3,)</f>
        <v>255</v>
      </c>
      <c r="G126" s="4">
        <f t="shared" si="3"/>
        <v>0.10169491525423729</v>
      </c>
      <c r="H126" s="5">
        <f t="shared" si="4"/>
        <v>2.3529411764705882E-2</v>
      </c>
    </row>
    <row r="127" spans="1:8" x14ac:dyDescent="0.25">
      <c r="A127">
        <f t="shared" si="5"/>
        <v>11</v>
      </c>
      <c r="B127">
        <f>_xlfn.ISOWEEKNUM(C127)</f>
        <v>44</v>
      </c>
      <c r="C127" s="10">
        <v>44868</v>
      </c>
      <c r="D127">
        <v>9</v>
      </c>
      <c r="E127">
        <f>VLOOKUP(B127,WAU!A:C,3,)</f>
        <v>59</v>
      </c>
      <c r="F127">
        <f>VLOOKUP(A127,MAU!A:C,3,)</f>
        <v>255</v>
      </c>
      <c r="G127" s="4">
        <f t="shared" si="3"/>
        <v>0.15254237288135594</v>
      </c>
      <c r="H127" s="5">
        <f t="shared" si="4"/>
        <v>3.5294117647058823E-2</v>
      </c>
    </row>
    <row r="128" spans="1:8" x14ac:dyDescent="0.25">
      <c r="A128">
        <f t="shared" si="5"/>
        <v>11</v>
      </c>
      <c r="B128">
        <f>_xlfn.ISOWEEKNUM(C128)</f>
        <v>44</v>
      </c>
      <c r="C128" s="10">
        <v>44869</v>
      </c>
      <c r="D128">
        <v>9</v>
      </c>
      <c r="E128">
        <f>VLOOKUP(B128,WAU!A:C,3,)</f>
        <v>59</v>
      </c>
      <c r="F128">
        <f>VLOOKUP(A128,MAU!A:C,3,)</f>
        <v>255</v>
      </c>
      <c r="G128" s="4">
        <f t="shared" si="3"/>
        <v>0.15254237288135594</v>
      </c>
      <c r="H128" s="5">
        <f t="shared" si="4"/>
        <v>3.5294117647058823E-2</v>
      </c>
    </row>
    <row r="129" spans="1:8" x14ac:dyDescent="0.25">
      <c r="A129">
        <f t="shared" si="5"/>
        <v>11</v>
      </c>
      <c r="B129">
        <f>_xlfn.ISOWEEKNUM(C129)</f>
        <v>44</v>
      </c>
      <c r="C129" s="10">
        <v>44870</v>
      </c>
      <c r="D129">
        <v>6</v>
      </c>
      <c r="E129">
        <f>VLOOKUP(B129,WAU!A:C,3,)</f>
        <v>59</v>
      </c>
      <c r="F129">
        <f>VLOOKUP(A129,MAU!A:C,3,)</f>
        <v>255</v>
      </c>
      <c r="G129" s="4">
        <f t="shared" si="3"/>
        <v>0.10169491525423729</v>
      </c>
      <c r="H129" s="5">
        <f t="shared" si="4"/>
        <v>2.3529411764705882E-2</v>
      </c>
    </row>
    <row r="130" spans="1:8" x14ac:dyDescent="0.25">
      <c r="A130">
        <f t="shared" si="5"/>
        <v>11</v>
      </c>
      <c r="B130">
        <f>_xlfn.ISOWEEKNUM(C130)</f>
        <v>44</v>
      </c>
      <c r="C130" s="10">
        <v>44871</v>
      </c>
      <c r="D130">
        <v>13</v>
      </c>
      <c r="E130">
        <f>VLOOKUP(B130,WAU!A:C,3,)</f>
        <v>59</v>
      </c>
      <c r="F130">
        <f>VLOOKUP(A130,MAU!A:C,3,)</f>
        <v>255</v>
      </c>
      <c r="G130" s="4">
        <f t="shared" ref="G130:G193" si="6">D130/E130</f>
        <v>0.22033898305084745</v>
      </c>
      <c r="H130" s="5">
        <f t="shared" ref="H130:H193" si="7">D130/F130</f>
        <v>5.0980392156862744E-2</v>
      </c>
    </row>
    <row r="131" spans="1:8" x14ac:dyDescent="0.25">
      <c r="A131">
        <f t="shared" ref="A131:A194" si="8">MONTH(C131)</f>
        <v>11</v>
      </c>
      <c r="B131">
        <f>_xlfn.ISOWEEKNUM(C131)</f>
        <v>45</v>
      </c>
      <c r="C131" s="10">
        <v>44872</v>
      </c>
      <c r="D131">
        <v>13</v>
      </c>
      <c r="E131">
        <f>VLOOKUP(B131,WAU!A:C,3,)</f>
        <v>69</v>
      </c>
      <c r="F131">
        <f>VLOOKUP(A131,MAU!A:C,3,)</f>
        <v>255</v>
      </c>
      <c r="G131" s="4">
        <f t="shared" si="6"/>
        <v>0.18840579710144928</v>
      </c>
      <c r="H131" s="5">
        <f t="shared" si="7"/>
        <v>5.0980392156862744E-2</v>
      </c>
    </row>
    <row r="132" spans="1:8" x14ac:dyDescent="0.25">
      <c r="A132">
        <f t="shared" si="8"/>
        <v>11</v>
      </c>
      <c r="B132">
        <f>_xlfn.ISOWEEKNUM(C132)</f>
        <v>45</v>
      </c>
      <c r="C132" s="10">
        <v>44873</v>
      </c>
      <c r="D132">
        <v>7</v>
      </c>
      <c r="E132">
        <f>VLOOKUP(B132,WAU!A:C,3,)</f>
        <v>69</v>
      </c>
      <c r="F132">
        <f>VLOOKUP(A132,MAU!A:C,3,)</f>
        <v>255</v>
      </c>
      <c r="G132" s="4">
        <f t="shared" si="6"/>
        <v>0.10144927536231885</v>
      </c>
      <c r="H132" s="5">
        <f t="shared" si="7"/>
        <v>2.7450980392156862E-2</v>
      </c>
    </row>
    <row r="133" spans="1:8" x14ac:dyDescent="0.25">
      <c r="A133">
        <f t="shared" si="8"/>
        <v>11</v>
      </c>
      <c r="B133">
        <f>_xlfn.ISOWEEKNUM(C133)</f>
        <v>45</v>
      </c>
      <c r="C133" s="10">
        <v>44874</v>
      </c>
      <c r="D133">
        <v>7</v>
      </c>
      <c r="E133">
        <f>VLOOKUP(B133,WAU!A:C,3,)</f>
        <v>69</v>
      </c>
      <c r="F133">
        <f>VLOOKUP(A133,MAU!A:C,3,)</f>
        <v>255</v>
      </c>
      <c r="G133" s="4">
        <f t="shared" si="6"/>
        <v>0.10144927536231885</v>
      </c>
      <c r="H133" s="5">
        <f t="shared" si="7"/>
        <v>2.7450980392156862E-2</v>
      </c>
    </row>
    <row r="134" spans="1:8" x14ac:dyDescent="0.25">
      <c r="A134">
        <f t="shared" si="8"/>
        <v>11</v>
      </c>
      <c r="B134">
        <f>_xlfn.ISOWEEKNUM(C134)</f>
        <v>45</v>
      </c>
      <c r="C134" s="10">
        <v>44875</v>
      </c>
      <c r="D134">
        <v>8</v>
      </c>
      <c r="E134">
        <f>VLOOKUP(B134,WAU!A:C,3,)</f>
        <v>69</v>
      </c>
      <c r="F134">
        <f>VLOOKUP(A134,MAU!A:C,3,)</f>
        <v>255</v>
      </c>
      <c r="G134" s="4">
        <f t="shared" si="6"/>
        <v>0.11594202898550725</v>
      </c>
      <c r="H134" s="5">
        <f t="shared" si="7"/>
        <v>3.1372549019607843E-2</v>
      </c>
    </row>
    <row r="135" spans="1:8" x14ac:dyDescent="0.25">
      <c r="A135">
        <f t="shared" si="8"/>
        <v>11</v>
      </c>
      <c r="B135">
        <f>_xlfn.ISOWEEKNUM(C135)</f>
        <v>45</v>
      </c>
      <c r="C135" s="10">
        <v>44876</v>
      </c>
      <c r="D135">
        <v>13</v>
      </c>
      <c r="E135">
        <f>VLOOKUP(B135,WAU!A:C,3,)</f>
        <v>69</v>
      </c>
      <c r="F135">
        <f>VLOOKUP(A135,MAU!A:C,3,)</f>
        <v>255</v>
      </c>
      <c r="G135" s="4">
        <f t="shared" si="6"/>
        <v>0.18840579710144928</v>
      </c>
      <c r="H135" s="5">
        <f t="shared" si="7"/>
        <v>5.0980392156862744E-2</v>
      </c>
    </row>
    <row r="136" spans="1:8" x14ac:dyDescent="0.25">
      <c r="A136">
        <f t="shared" si="8"/>
        <v>11</v>
      </c>
      <c r="B136">
        <f>_xlfn.ISOWEEKNUM(C136)</f>
        <v>45</v>
      </c>
      <c r="C136" s="10">
        <v>44877</v>
      </c>
      <c r="D136">
        <v>10</v>
      </c>
      <c r="E136">
        <f>VLOOKUP(B136,WAU!A:C,3,)</f>
        <v>69</v>
      </c>
      <c r="F136">
        <f>VLOOKUP(A136,MAU!A:C,3,)</f>
        <v>255</v>
      </c>
      <c r="G136" s="4">
        <f t="shared" si="6"/>
        <v>0.14492753623188406</v>
      </c>
      <c r="H136" s="5">
        <f t="shared" si="7"/>
        <v>3.9215686274509803E-2</v>
      </c>
    </row>
    <row r="137" spans="1:8" x14ac:dyDescent="0.25">
      <c r="A137">
        <f t="shared" si="8"/>
        <v>11</v>
      </c>
      <c r="B137">
        <f>_xlfn.ISOWEEKNUM(C137)</f>
        <v>45</v>
      </c>
      <c r="C137" s="10">
        <v>44878</v>
      </c>
      <c r="D137">
        <v>11</v>
      </c>
      <c r="E137">
        <f>VLOOKUP(B137,WAU!A:C,3,)</f>
        <v>69</v>
      </c>
      <c r="F137">
        <f>VLOOKUP(A137,MAU!A:C,3,)</f>
        <v>255</v>
      </c>
      <c r="G137" s="4">
        <f t="shared" si="6"/>
        <v>0.15942028985507245</v>
      </c>
      <c r="H137" s="5">
        <f t="shared" si="7"/>
        <v>4.3137254901960784E-2</v>
      </c>
    </row>
    <row r="138" spans="1:8" x14ac:dyDescent="0.25">
      <c r="A138">
        <f t="shared" si="8"/>
        <v>11</v>
      </c>
      <c r="B138">
        <f>_xlfn.ISOWEEKNUM(C138)</f>
        <v>46</v>
      </c>
      <c r="C138" s="10">
        <v>44879</v>
      </c>
      <c r="D138">
        <v>10</v>
      </c>
      <c r="E138">
        <f>VLOOKUP(B138,WAU!A:C,3,)</f>
        <v>60</v>
      </c>
      <c r="F138">
        <f>VLOOKUP(A138,MAU!A:C,3,)</f>
        <v>255</v>
      </c>
      <c r="G138" s="4">
        <f t="shared" si="6"/>
        <v>0.16666666666666666</v>
      </c>
      <c r="H138" s="5">
        <f t="shared" si="7"/>
        <v>3.9215686274509803E-2</v>
      </c>
    </row>
    <row r="139" spans="1:8" x14ac:dyDescent="0.25">
      <c r="A139">
        <f t="shared" si="8"/>
        <v>11</v>
      </c>
      <c r="B139">
        <f>_xlfn.ISOWEEKNUM(C139)</f>
        <v>46</v>
      </c>
      <c r="C139" s="10">
        <v>44880</v>
      </c>
      <c r="D139">
        <v>9</v>
      </c>
      <c r="E139">
        <f>VLOOKUP(B139,WAU!A:C,3,)</f>
        <v>60</v>
      </c>
      <c r="F139">
        <f>VLOOKUP(A139,MAU!A:C,3,)</f>
        <v>255</v>
      </c>
      <c r="G139" s="4">
        <f t="shared" si="6"/>
        <v>0.15</v>
      </c>
      <c r="H139" s="5">
        <f t="shared" si="7"/>
        <v>3.5294117647058823E-2</v>
      </c>
    </row>
    <row r="140" spans="1:8" x14ac:dyDescent="0.25">
      <c r="A140">
        <f t="shared" si="8"/>
        <v>11</v>
      </c>
      <c r="B140">
        <f>_xlfn.ISOWEEKNUM(C140)</f>
        <v>46</v>
      </c>
      <c r="C140" s="10">
        <v>44881</v>
      </c>
      <c r="D140">
        <v>10</v>
      </c>
      <c r="E140">
        <f>VLOOKUP(B140,WAU!A:C,3,)</f>
        <v>60</v>
      </c>
      <c r="F140">
        <f>VLOOKUP(A140,MAU!A:C,3,)</f>
        <v>255</v>
      </c>
      <c r="G140" s="4">
        <f t="shared" si="6"/>
        <v>0.16666666666666666</v>
      </c>
      <c r="H140" s="5">
        <f t="shared" si="7"/>
        <v>3.9215686274509803E-2</v>
      </c>
    </row>
    <row r="141" spans="1:8" x14ac:dyDescent="0.25">
      <c r="A141">
        <f t="shared" si="8"/>
        <v>11</v>
      </c>
      <c r="B141">
        <f>_xlfn.ISOWEEKNUM(C141)</f>
        <v>46</v>
      </c>
      <c r="C141" s="10">
        <v>44882</v>
      </c>
      <c r="D141">
        <v>6</v>
      </c>
      <c r="E141">
        <f>VLOOKUP(B141,WAU!A:C,3,)</f>
        <v>60</v>
      </c>
      <c r="F141">
        <f>VLOOKUP(A141,MAU!A:C,3,)</f>
        <v>255</v>
      </c>
      <c r="G141" s="4">
        <f t="shared" si="6"/>
        <v>0.1</v>
      </c>
      <c r="H141" s="5">
        <f t="shared" si="7"/>
        <v>2.3529411764705882E-2</v>
      </c>
    </row>
    <row r="142" spans="1:8" x14ac:dyDescent="0.25">
      <c r="A142">
        <f t="shared" si="8"/>
        <v>11</v>
      </c>
      <c r="B142">
        <f>_xlfn.ISOWEEKNUM(C142)</f>
        <v>46</v>
      </c>
      <c r="C142" s="10">
        <v>44883</v>
      </c>
      <c r="D142">
        <v>12</v>
      </c>
      <c r="E142">
        <f>VLOOKUP(B142,WAU!A:C,3,)</f>
        <v>60</v>
      </c>
      <c r="F142">
        <f>VLOOKUP(A142,MAU!A:C,3,)</f>
        <v>255</v>
      </c>
      <c r="G142" s="4">
        <f t="shared" si="6"/>
        <v>0.2</v>
      </c>
      <c r="H142" s="5">
        <f t="shared" si="7"/>
        <v>4.7058823529411764E-2</v>
      </c>
    </row>
    <row r="143" spans="1:8" x14ac:dyDescent="0.25">
      <c r="A143">
        <f t="shared" si="8"/>
        <v>11</v>
      </c>
      <c r="B143">
        <f>_xlfn.ISOWEEKNUM(C143)</f>
        <v>46</v>
      </c>
      <c r="C143" s="10">
        <v>44884</v>
      </c>
      <c r="D143">
        <v>4</v>
      </c>
      <c r="E143">
        <f>VLOOKUP(B143,WAU!A:C,3,)</f>
        <v>60</v>
      </c>
      <c r="F143">
        <f>VLOOKUP(A143,MAU!A:C,3,)</f>
        <v>255</v>
      </c>
      <c r="G143" s="4">
        <f t="shared" si="6"/>
        <v>6.6666666666666666E-2</v>
      </c>
      <c r="H143" s="5">
        <f t="shared" si="7"/>
        <v>1.5686274509803921E-2</v>
      </c>
    </row>
    <row r="144" spans="1:8" x14ac:dyDescent="0.25">
      <c r="A144">
        <f t="shared" si="8"/>
        <v>11</v>
      </c>
      <c r="B144">
        <f>_xlfn.ISOWEEKNUM(C144)</f>
        <v>46</v>
      </c>
      <c r="C144" s="10">
        <v>44885</v>
      </c>
      <c r="D144">
        <v>9</v>
      </c>
      <c r="E144">
        <f>VLOOKUP(B144,WAU!A:C,3,)</f>
        <v>60</v>
      </c>
      <c r="F144">
        <f>VLOOKUP(A144,MAU!A:C,3,)</f>
        <v>255</v>
      </c>
      <c r="G144" s="4">
        <f t="shared" si="6"/>
        <v>0.15</v>
      </c>
      <c r="H144" s="5">
        <f t="shared" si="7"/>
        <v>3.5294117647058823E-2</v>
      </c>
    </row>
    <row r="145" spans="1:8" x14ac:dyDescent="0.25">
      <c r="A145">
        <f t="shared" si="8"/>
        <v>11</v>
      </c>
      <c r="B145">
        <f>_xlfn.ISOWEEKNUM(C145)</f>
        <v>47</v>
      </c>
      <c r="C145" s="10">
        <v>44886</v>
      </c>
      <c r="D145">
        <v>6</v>
      </c>
      <c r="E145">
        <f>VLOOKUP(B145,WAU!A:C,3,)</f>
        <v>53</v>
      </c>
      <c r="F145">
        <f>VLOOKUP(A145,MAU!A:C,3,)</f>
        <v>255</v>
      </c>
      <c r="G145" s="4">
        <f t="shared" si="6"/>
        <v>0.11320754716981132</v>
      </c>
      <c r="H145" s="5">
        <f t="shared" si="7"/>
        <v>2.3529411764705882E-2</v>
      </c>
    </row>
    <row r="146" spans="1:8" x14ac:dyDescent="0.25">
      <c r="A146">
        <f t="shared" si="8"/>
        <v>11</v>
      </c>
      <c r="B146">
        <f>_xlfn.ISOWEEKNUM(C146)</f>
        <v>47</v>
      </c>
      <c r="C146" s="10">
        <v>44887</v>
      </c>
      <c r="D146">
        <v>9</v>
      </c>
      <c r="E146">
        <f>VLOOKUP(B146,WAU!A:C,3,)</f>
        <v>53</v>
      </c>
      <c r="F146">
        <f>VLOOKUP(A146,MAU!A:C,3,)</f>
        <v>255</v>
      </c>
      <c r="G146" s="4">
        <f t="shared" si="6"/>
        <v>0.16981132075471697</v>
      </c>
      <c r="H146" s="5">
        <f t="shared" si="7"/>
        <v>3.5294117647058823E-2</v>
      </c>
    </row>
    <row r="147" spans="1:8" x14ac:dyDescent="0.25">
      <c r="A147">
        <f t="shared" si="8"/>
        <v>11</v>
      </c>
      <c r="B147">
        <f>_xlfn.ISOWEEKNUM(C147)</f>
        <v>47</v>
      </c>
      <c r="C147" s="10">
        <v>44888</v>
      </c>
      <c r="D147">
        <v>4</v>
      </c>
      <c r="E147">
        <f>VLOOKUP(B147,WAU!A:C,3,)</f>
        <v>53</v>
      </c>
      <c r="F147">
        <f>VLOOKUP(A147,MAU!A:C,3,)</f>
        <v>255</v>
      </c>
      <c r="G147" s="4">
        <f t="shared" si="6"/>
        <v>7.5471698113207544E-2</v>
      </c>
      <c r="H147" s="5">
        <f t="shared" si="7"/>
        <v>1.5686274509803921E-2</v>
      </c>
    </row>
    <row r="148" spans="1:8" x14ac:dyDescent="0.25">
      <c r="A148">
        <f t="shared" si="8"/>
        <v>11</v>
      </c>
      <c r="B148">
        <f>_xlfn.ISOWEEKNUM(C148)</f>
        <v>47</v>
      </c>
      <c r="C148" s="10">
        <v>44889</v>
      </c>
      <c r="D148">
        <v>9</v>
      </c>
      <c r="E148">
        <f>VLOOKUP(B148,WAU!A:C,3,)</f>
        <v>53</v>
      </c>
      <c r="F148">
        <f>VLOOKUP(A148,MAU!A:C,3,)</f>
        <v>255</v>
      </c>
      <c r="G148" s="4">
        <f t="shared" si="6"/>
        <v>0.16981132075471697</v>
      </c>
      <c r="H148" s="5">
        <f t="shared" si="7"/>
        <v>3.5294117647058823E-2</v>
      </c>
    </row>
    <row r="149" spans="1:8" x14ac:dyDescent="0.25">
      <c r="A149">
        <f t="shared" si="8"/>
        <v>11</v>
      </c>
      <c r="B149">
        <f>_xlfn.ISOWEEKNUM(C149)</f>
        <v>47</v>
      </c>
      <c r="C149" s="10">
        <v>44890</v>
      </c>
      <c r="D149">
        <v>7</v>
      </c>
      <c r="E149">
        <f>VLOOKUP(B149,WAU!A:C,3,)</f>
        <v>53</v>
      </c>
      <c r="F149">
        <f>VLOOKUP(A149,MAU!A:C,3,)</f>
        <v>255</v>
      </c>
      <c r="G149" s="4">
        <f t="shared" si="6"/>
        <v>0.13207547169811321</v>
      </c>
      <c r="H149" s="5">
        <f t="shared" si="7"/>
        <v>2.7450980392156862E-2</v>
      </c>
    </row>
    <row r="150" spans="1:8" x14ac:dyDescent="0.25">
      <c r="A150">
        <f t="shared" si="8"/>
        <v>11</v>
      </c>
      <c r="B150">
        <f>_xlfn.ISOWEEKNUM(C150)</f>
        <v>47</v>
      </c>
      <c r="C150" s="10">
        <v>44891</v>
      </c>
      <c r="D150">
        <v>10</v>
      </c>
      <c r="E150">
        <f>VLOOKUP(B150,WAU!A:C,3,)</f>
        <v>53</v>
      </c>
      <c r="F150">
        <f>VLOOKUP(A150,MAU!A:C,3,)</f>
        <v>255</v>
      </c>
      <c r="G150" s="4">
        <f t="shared" si="6"/>
        <v>0.18867924528301888</v>
      </c>
      <c r="H150" s="5">
        <f t="shared" si="7"/>
        <v>3.9215686274509803E-2</v>
      </c>
    </row>
    <row r="151" spans="1:8" x14ac:dyDescent="0.25">
      <c r="A151">
        <f t="shared" si="8"/>
        <v>11</v>
      </c>
      <c r="B151">
        <f>_xlfn.ISOWEEKNUM(C151)</f>
        <v>47</v>
      </c>
      <c r="C151" s="10">
        <v>44892</v>
      </c>
      <c r="D151">
        <v>8</v>
      </c>
      <c r="E151">
        <f>VLOOKUP(B151,WAU!A:C,3,)</f>
        <v>53</v>
      </c>
      <c r="F151">
        <f>VLOOKUP(A151,MAU!A:C,3,)</f>
        <v>255</v>
      </c>
      <c r="G151" s="4">
        <f t="shared" si="6"/>
        <v>0.15094339622641509</v>
      </c>
      <c r="H151" s="5">
        <f t="shared" si="7"/>
        <v>3.1372549019607843E-2</v>
      </c>
    </row>
    <row r="152" spans="1:8" x14ac:dyDescent="0.25">
      <c r="A152">
        <f t="shared" si="8"/>
        <v>11</v>
      </c>
      <c r="B152">
        <f>_xlfn.ISOWEEKNUM(C152)</f>
        <v>48</v>
      </c>
      <c r="C152" s="10">
        <v>44893</v>
      </c>
      <c r="D152">
        <v>3</v>
      </c>
      <c r="E152">
        <f>VLOOKUP(B152,WAU!A:C,3,)</f>
        <v>63</v>
      </c>
      <c r="F152">
        <f>VLOOKUP(A152,MAU!A:C,3,)</f>
        <v>255</v>
      </c>
      <c r="G152" s="4">
        <f t="shared" si="6"/>
        <v>4.7619047619047616E-2</v>
      </c>
      <c r="H152" s="5">
        <f t="shared" si="7"/>
        <v>1.1764705882352941E-2</v>
      </c>
    </row>
    <row r="153" spans="1:8" x14ac:dyDescent="0.25">
      <c r="A153">
        <f t="shared" si="8"/>
        <v>11</v>
      </c>
      <c r="B153">
        <f>_xlfn.ISOWEEKNUM(C153)</f>
        <v>48</v>
      </c>
      <c r="C153" s="10">
        <v>44894</v>
      </c>
      <c r="D153">
        <v>13</v>
      </c>
      <c r="E153">
        <f>VLOOKUP(B153,WAU!A:C,3,)</f>
        <v>63</v>
      </c>
      <c r="F153">
        <f>VLOOKUP(A153,MAU!A:C,3,)</f>
        <v>255</v>
      </c>
      <c r="G153" s="4">
        <f t="shared" si="6"/>
        <v>0.20634920634920634</v>
      </c>
      <c r="H153" s="5">
        <f t="shared" si="7"/>
        <v>5.0980392156862744E-2</v>
      </c>
    </row>
    <row r="154" spans="1:8" x14ac:dyDescent="0.25">
      <c r="A154">
        <f t="shared" si="8"/>
        <v>11</v>
      </c>
      <c r="B154">
        <f>_xlfn.ISOWEEKNUM(C154)</f>
        <v>48</v>
      </c>
      <c r="C154" s="10">
        <v>44895</v>
      </c>
      <c r="D154">
        <v>7</v>
      </c>
      <c r="E154">
        <f>VLOOKUP(B154,WAU!A:C,3,)</f>
        <v>63</v>
      </c>
      <c r="F154">
        <f>VLOOKUP(A154,MAU!A:C,3,)</f>
        <v>255</v>
      </c>
      <c r="G154" s="4">
        <f t="shared" si="6"/>
        <v>0.1111111111111111</v>
      </c>
      <c r="H154" s="5">
        <f t="shared" si="7"/>
        <v>2.7450980392156862E-2</v>
      </c>
    </row>
    <row r="155" spans="1:8" x14ac:dyDescent="0.25">
      <c r="A155">
        <f t="shared" si="8"/>
        <v>12</v>
      </c>
      <c r="B155">
        <f>_xlfn.ISOWEEKNUM(C155)</f>
        <v>48</v>
      </c>
      <c r="C155" s="10">
        <v>44896</v>
      </c>
      <c r="D155">
        <v>13</v>
      </c>
      <c r="E155">
        <f>VLOOKUP(B155,WAU!A:C,3,)</f>
        <v>63</v>
      </c>
      <c r="F155">
        <f>VLOOKUP(A155,MAU!A:C,3,)</f>
        <v>255</v>
      </c>
      <c r="G155" s="4">
        <f t="shared" si="6"/>
        <v>0.20634920634920634</v>
      </c>
      <c r="H155" s="5">
        <f t="shared" si="7"/>
        <v>5.0980392156862744E-2</v>
      </c>
    </row>
    <row r="156" spans="1:8" x14ac:dyDescent="0.25">
      <c r="A156">
        <f t="shared" si="8"/>
        <v>12</v>
      </c>
      <c r="B156">
        <f>_xlfn.ISOWEEKNUM(C156)</f>
        <v>48</v>
      </c>
      <c r="C156" s="10">
        <v>44897</v>
      </c>
      <c r="D156">
        <v>7</v>
      </c>
      <c r="E156">
        <f>VLOOKUP(B156,WAU!A:C,3,)</f>
        <v>63</v>
      </c>
      <c r="F156">
        <f>VLOOKUP(A156,MAU!A:C,3,)</f>
        <v>255</v>
      </c>
      <c r="G156" s="4">
        <f t="shared" si="6"/>
        <v>0.1111111111111111</v>
      </c>
      <c r="H156" s="5">
        <f t="shared" si="7"/>
        <v>2.7450980392156862E-2</v>
      </c>
    </row>
    <row r="157" spans="1:8" x14ac:dyDescent="0.25">
      <c r="A157">
        <f t="shared" si="8"/>
        <v>12</v>
      </c>
      <c r="B157">
        <f>_xlfn.ISOWEEKNUM(C157)</f>
        <v>48</v>
      </c>
      <c r="C157" s="10">
        <v>44898</v>
      </c>
      <c r="D157">
        <v>13</v>
      </c>
      <c r="E157">
        <f>VLOOKUP(B157,WAU!A:C,3,)</f>
        <v>63</v>
      </c>
      <c r="F157">
        <f>VLOOKUP(A157,MAU!A:C,3,)</f>
        <v>255</v>
      </c>
      <c r="G157" s="4">
        <f t="shared" si="6"/>
        <v>0.20634920634920634</v>
      </c>
      <c r="H157" s="5">
        <f t="shared" si="7"/>
        <v>5.0980392156862744E-2</v>
      </c>
    </row>
    <row r="158" spans="1:8" x14ac:dyDescent="0.25">
      <c r="A158">
        <f t="shared" si="8"/>
        <v>12</v>
      </c>
      <c r="B158">
        <f>_xlfn.ISOWEEKNUM(C158)</f>
        <v>48</v>
      </c>
      <c r="C158" s="10">
        <v>44899</v>
      </c>
      <c r="D158">
        <v>7</v>
      </c>
      <c r="E158">
        <f>VLOOKUP(B158,WAU!A:C,3,)</f>
        <v>63</v>
      </c>
      <c r="F158">
        <f>VLOOKUP(A158,MAU!A:C,3,)</f>
        <v>255</v>
      </c>
      <c r="G158" s="4">
        <f t="shared" si="6"/>
        <v>0.1111111111111111</v>
      </c>
      <c r="H158" s="5">
        <f t="shared" si="7"/>
        <v>2.7450980392156862E-2</v>
      </c>
    </row>
    <row r="159" spans="1:8" x14ac:dyDescent="0.25">
      <c r="A159">
        <f t="shared" si="8"/>
        <v>12</v>
      </c>
      <c r="B159">
        <f>_xlfn.ISOWEEKNUM(C159)</f>
        <v>49</v>
      </c>
      <c r="C159" s="10">
        <v>44900</v>
      </c>
      <c r="D159">
        <v>6</v>
      </c>
      <c r="E159">
        <f>VLOOKUP(B159,WAU!A:C,3,)</f>
        <v>56</v>
      </c>
      <c r="F159">
        <f>VLOOKUP(A159,MAU!A:C,3,)</f>
        <v>255</v>
      </c>
      <c r="G159" s="4">
        <f t="shared" si="6"/>
        <v>0.10714285714285714</v>
      </c>
      <c r="H159" s="5">
        <f t="shared" si="7"/>
        <v>2.3529411764705882E-2</v>
      </c>
    </row>
    <row r="160" spans="1:8" x14ac:dyDescent="0.25">
      <c r="A160">
        <f t="shared" si="8"/>
        <v>12</v>
      </c>
      <c r="B160">
        <f>_xlfn.ISOWEEKNUM(C160)</f>
        <v>49</v>
      </c>
      <c r="C160" s="10">
        <v>44901</v>
      </c>
      <c r="D160">
        <v>4</v>
      </c>
      <c r="E160">
        <f>VLOOKUP(B160,WAU!A:C,3,)</f>
        <v>56</v>
      </c>
      <c r="F160">
        <f>VLOOKUP(A160,MAU!A:C,3,)</f>
        <v>255</v>
      </c>
      <c r="G160" s="4">
        <f t="shared" si="6"/>
        <v>7.1428571428571425E-2</v>
      </c>
      <c r="H160" s="5">
        <f t="shared" si="7"/>
        <v>1.5686274509803921E-2</v>
      </c>
    </row>
    <row r="161" spans="1:8" x14ac:dyDescent="0.25">
      <c r="A161">
        <f t="shared" si="8"/>
        <v>12</v>
      </c>
      <c r="B161">
        <f>_xlfn.ISOWEEKNUM(C161)</f>
        <v>49</v>
      </c>
      <c r="C161" s="10">
        <v>44902</v>
      </c>
      <c r="D161">
        <v>9</v>
      </c>
      <c r="E161">
        <f>VLOOKUP(B161,WAU!A:C,3,)</f>
        <v>56</v>
      </c>
      <c r="F161">
        <f>VLOOKUP(A161,MAU!A:C,3,)</f>
        <v>255</v>
      </c>
      <c r="G161" s="4">
        <f t="shared" si="6"/>
        <v>0.16071428571428573</v>
      </c>
      <c r="H161" s="5">
        <f t="shared" si="7"/>
        <v>3.5294117647058823E-2</v>
      </c>
    </row>
    <row r="162" spans="1:8" x14ac:dyDescent="0.25">
      <c r="A162">
        <f t="shared" si="8"/>
        <v>12</v>
      </c>
      <c r="B162">
        <f>_xlfn.ISOWEEKNUM(C162)</f>
        <v>49</v>
      </c>
      <c r="C162" s="10">
        <v>44903</v>
      </c>
      <c r="D162">
        <v>7</v>
      </c>
      <c r="E162">
        <f>VLOOKUP(B162,WAU!A:C,3,)</f>
        <v>56</v>
      </c>
      <c r="F162">
        <f>VLOOKUP(A162,MAU!A:C,3,)</f>
        <v>255</v>
      </c>
      <c r="G162" s="4">
        <f t="shared" si="6"/>
        <v>0.125</v>
      </c>
      <c r="H162" s="5">
        <f t="shared" si="7"/>
        <v>2.7450980392156862E-2</v>
      </c>
    </row>
    <row r="163" spans="1:8" x14ac:dyDescent="0.25">
      <c r="A163">
        <f t="shared" si="8"/>
        <v>12</v>
      </c>
      <c r="B163">
        <f>_xlfn.ISOWEEKNUM(C163)</f>
        <v>49</v>
      </c>
      <c r="C163" s="10">
        <v>44904</v>
      </c>
      <c r="D163">
        <v>10</v>
      </c>
      <c r="E163">
        <f>VLOOKUP(B163,WAU!A:C,3,)</f>
        <v>56</v>
      </c>
      <c r="F163">
        <f>VLOOKUP(A163,MAU!A:C,3,)</f>
        <v>255</v>
      </c>
      <c r="G163" s="4">
        <f t="shared" si="6"/>
        <v>0.17857142857142858</v>
      </c>
      <c r="H163" s="5">
        <f t="shared" si="7"/>
        <v>3.9215686274509803E-2</v>
      </c>
    </row>
    <row r="164" spans="1:8" x14ac:dyDescent="0.25">
      <c r="A164">
        <f t="shared" si="8"/>
        <v>12</v>
      </c>
      <c r="B164">
        <f>_xlfn.ISOWEEKNUM(C164)</f>
        <v>49</v>
      </c>
      <c r="C164" s="10">
        <v>44905</v>
      </c>
      <c r="D164">
        <v>14</v>
      </c>
      <c r="E164">
        <f>VLOOKUP(B164,WAU!A:C,3,)</f>
        <v>56</v>
      </c>
      <c r="F164">
        <f>VLOOKUP(A164,MAU!A:C,3,)</f>
        <v>255</v>
      </c>
      <c r="G164" s="4">
        <f t="shared" si="6"/>
        <v>0.25</v>
      </c>
      <c r="H164" s="5">
        <f t="shared" si="7"/>
        <v>5.4901960784313725E-2</v>
      </c>
    </row>
    <row r="165" spans="1:8" x14ac:dyDescent="0.25">
      <c r="A165">
        <f t="shared" si="8"/>
        <v>12</v>
      </c>
      <c r="B165">
        <f>_xlfn.ISOWEEKNUM(C165)</f>
        <v>49</v>
      </c>
      <c r="C165" s="10">
        <v>44906</v>
      </c>
      <c r="D165">
        <v>6</v>
      </c>
      <c r="E165">
        <f>VLOOKUP(B165,WAU!A:C,3,)</f>
        <v>56</v>
      </c>
      <c r="F165">
        <f>VLOOKUP(A165,MAU!A:C,3,)</f>
        <v>255</v>
      </c>
      <c r="G165" s="4">
        <f t="shared" si="6"/>
        <v>0.10714285714285714</v>
      </c>
      <c r="H165" s="5">
        <f t="shared" si="7"/>
        <v>2.3529411764705882E-2</v>
      </c>
    </row>
    <row r="166" spans="1:8" x14ac:dyDescent="0.25">
      <c r="A166">
        <f t="shared" si="8"/>
        <v>12</v>
      </c>
      <c r="B166">
        <f>_xlfn.ISOWEEKNUM(C166)</f>
        <v>50</v>
      </c>
      <c r="C166" s="10">
        <v>44907</v>
      </c>
      <c r="D166">
        <v>4</v>
      </c>
      <c r="E166">
        <f>VLOOKUP(B166,WAU!A:C,3,)</f>
        <v>39</v>
      </c>
      <c r="F166">
        <f>VLOOKUP(A166,MAU!A:C,3,)</f>
        <v>255</v>
      </c>
      <c r="G166" s="4">
        <f t="shared" si="6"/>
        <v>0.10256410256410256</v>
      </c>
      <c r="H166" s="5">
        <f t="shared" si="7"/>
        <v>1.5686274509803921E-2</v>
      </c>
    </row>
    <row r="167" spans="1:8" x14ac:dyDescent="0.25">
      <c r="A167">
        <f t="shared" si="8"/>
        <v>12</v>
      </c>
      <c r="B167">
        <f>_xlfn.ISOWEEKNUM(C167)</f>
        <v>50</v>
      </c>
      <c r="C167" s="10">
        <v>44908</v>
      </c>
      <c r="D167">
        <v>4</v>
      </c>
      <c r="E167">
        <f>VLOOKUP(B167,WAU!A:C,3,)</f>
        <v>39</v>
      </c>
      <c r="F167">
        <f>VLOOKUP(A167,MAU!A:C,3,)</f>
        <v>255</v>
      </c>
      <c r="G167" s="4">
        <f t="shared" si="6"/>
        <v>0.10256410256410256</v>
      </c>
      <c r="H167" s="5">
        <f t="shared" si="7"/>
        <v>1.5686274509803921E-2</v>
      </c>
    </row>
    <row r="168" spans="1:8" x14ac:dyDescent="0.25">
      <c r="A168">
        <f t="shared" si="8"/>
        <v>12</v>
      </c>
      <c r="B168">
        <f>_xlfn.ISOWEEKNUM(C168)</f>
        <v>50</v>
      </c>
      <c r="C168" s="10">
        <v>44909</v>
      </c>
      <c r="D168">
        <v>4</v>
      </c>
      <c r="E168">
        <f>VLOOKUP(B168,WAU!A:C,3,)</f>
        <v>39</v>
      </c>
      <c r="F168">
        <f>VLOOKUP(A168,MAU!A:C,3,)</f>
        <v>255</v>
      </c>
      <c r="G168" s="4">
        <f t="shared" si="6"/>
        <v>0.10256410256410256</v>
      </c>
      <c r="H168" s="5">
        <f t="shared" si="7"/>
        <v>1.5686274509803921E-2</v>
      </c>
    </row>
    <row r="169" spans="1:8" x14ac:dyDescent="0.25">
      <c r="A169">
        <f t="shared" si="8"/>
        <v>12</v>
      </c>
      <c r="B169">
        <f>_xlfn.ISOWEEKNUM(C169)</f>
        <v>50</v>
      </c>
      <c r="C169" s="10">
        <v>44910</v>
      </c>
      <c r="D169">
        <v>6</v>
      </c>
      <c r="E169">
        <f>VLOOKUP(B169,WAU!A:C,3,)</f>
        <v>39</v>
      </c>
      <c r="F169">
        <f>VLOOKUP(A169,MAU!A:C,3,)</f>
        <v>255</v>
      </c>
      <c r="G169" s="4">
        <f t="shared" si="6"/>
        <v>0.15384615384615385</v>
      </c>
      <c r="H169" s="5">
        <f t="shared" si="7"/>
        <v>2.3529411764705882E-2</v>
      </c>
    </row>
    <row r="170" spans="1:8" x14ac:dyDescent="0.25">
      <c r="A170">
        <f t="shared" si="8"/>
        <v>12</v>
      </c>
      <c r="B170">
        <f>_xlfn.ISOWEEKNUM(C170)</f>
        <v>50</v>
      </c>
      <c r="C170" s="10">
        <v>44911</v>
      </c>
      <c r="D170">
        <v>6</v>
      </c>
      <c r="E170">
        <f>VLOOKUP(B170,WAU!A:C,3,)</f>
        <v>39</v>
      </c>
      <c r="F170">
        <f>VLOOKUP(A170,MAU!A:C,3,)</f>
        <v>255</v>
      </c>
      <c r="G170" s="4">
        <f t="shared" si="6"/>
        <v>0.15384615384615385</v>
      </c>
      <c r="H170" s="5">
        <f t="shared" si="7"/>
        <v>2.3529411764705882E-2</v>
      </c>
    </row>
    <row r="171" spans="1:8" x14ac:dyDescent="0.25">
      <c r="A171">
        <f t="shared" si="8"/>
        <v>12</v>
      </c>
      <c r="B171">
        <f>_xlfn.ISOWEEKNUM(C171)</f>
        <v>50</v>
      </c>
      <c r="C171" s="10">
        <v>44912</v>
      </c>
      <c r="D171">
        <v>6</v>
      </c>
      <c r="E171">
        <f>VLOOKUP(B171,WAU!A:C,3,)</f>
        <v>39</v>
      </c>
      <c r="F171">
        <f>VLOOKUP(A171,MAU!A:C,3,)</f>
        <v>255</v>
      </c>
      <c r="G171" s="4">
        <f t="shared" si="6"/>
        <v>0.15384615384615385</v>
      </c>
      <c r="H171" s="5">
        <f t="shared" si="7"/>
        <v>2.3529411764705882E-2</v>
      </c>
    </row>
    <row r="172" spans="1:8" x14ac:dyDescent="0.25">
      <c r="A172">
        <f t="shared" si="8"/>
        <v>12</v>
      </c>
      <c r="B172">
        <f>_xlfn.ISOWEEKNUM(C172)</f>
        <v>50</v>
      </c>
      <c r="C172" s="10">
        <v>44913</v>
      </c>
      <c r="D172">
        <v>9</v>
      </c>
      <c r="E172">
        <f>VLOOKUP(B172,WAU!A:C,3,)</f>
        <v>39</v>
      </c>
      <c r="F172">
        <f>VLOOKUP(A172,MAU!A:C,3,)</f>
        <v>255</v>
      </c>
      <c r="G172" s="4">
        <f t="shared" si="6"/>
        <v>0.23076923076923078</v>
      </c>
      <c r="H172" s="5">
        <f t="shared" si="7"/>
        <v>3.5294117647058823E-2</v>
      </c>
    </row>
    <row r="173" spans="1:8" x14ac:dyDescent="0.25">
      <c r="A173">
        <f t="shared" si="8"/>
        <v>12</v>
      </c>
      <c r="B173">
        <f>_xlfn.ISOWEEKNUM(C173)</f>
        <v>51</v>
      </c>
      <c r="C173" s="10">
        <v>44914</v>
      </c>
      <c r="D173">
        <v>9</v>
      </c>
      <c r="E173">
        <f>VLOOKUP(B173,WAU!A:C,3,)</f>
        <v>58</v>
      </c>
      <c r="F173">
        <f>VLOOKUP(A173,MAU!A:C,3,)</f>
        <v>255</v>
      </c>
      <c r="G173" s="4">
        <f t="shared" si="6"/>
        <v>0.15517241379310345</v>
      </c>
      <c r="H173" s="5">
        <f t="shared" si="7"/>
        <v>3.5294117647058823E-2</v>
      </c>
    </row>
    <row r="174" spans="1:8" x14ac:dyDescent="0.25">
      <c r="A174">
        <f t="shared" si="8"/>
        <v>12</v>
      </c>
      <c r="B174">
        <f>_xlfn.ISOWEEKNUM(C174)</f>
        <v>51</v>
      </c>
      <c r="C174" s="10">
        <v>44915</v>
      </c>
      <c r="D174">
        <v>10</v>
      </c>
      <c r="E174">
        <f>VLOOKUP(B174,WAU!A:C,3,)</f>
        <v>58</v>
      </c>
      <c r="F174">
        <f>VLOOKUP(A174,MAU!A:C,3,)</f>
        <v>255</v>
      </c>
      <c r="G174" s="4">
        <f t="shared" si="6"/>
        <v>0.17241379310344829</v>
      </c>
      <c r="H174" s="5">
        <f t="shared" si="7"/>
        <v>3.9215686274509803E-2</v>
      </c>
    </row>
    <row r="175" spans="1:8" x14ac:dyDescent="0.25">
      <c r="A175">
        <f t="shared" si="8"/>
        <v>12</v>
      </c>
      <c r="B175">
        <f>_xlfn.ISOWEEKNUM(C175)</f>
        <v>51</v>
      </c>
      <c r="C175" s="10">
        <v>44916</v>
      </c>
      <c r="D175">
        <v>6</v>
      </c>
      <c r="E175">
        <f>VLOOKUP(B175,WAU!A:C,3,)</f>
        <v>58</v>
      </c>
      <c r="F175">
        <f>VLOOKUP(A175,MAU!A:C,3,)</f>
        <v>255</v>
      </c>
      <c r="G175" s="4">
        <f t="shared" si="6"/>
        <v>0.10344827586206896</v>
      </c>
      <c r="H175" s="5">
        <f t="shared" si="7"/>
        <v>2.3529411764705882E-2</v>
      </c>
    </row>
    <row r="176" spans="1:8" x14ac:dyDescent="0.25">
      <c r="A176">
        <f t="shared" si="8"/>
        <v>12</v>
      </c>
      <c r="B176">
        <f>_xlfn.ISOWEEKNUM(C176)</f>
        <v>51</v>
      </c>
      <c r="C176" s="10">
        <v>44917</v>
      </c>
      <c r="D176">
        <v>6</v>
      </c>
      <c r="E176">
        <f>VLOOKUP(B176,WAU!A:C,3,)</f>
        <v>58</v>
      </c>
      <c r="F176">
        <f>VLOOKUP(A176,MAU!A:C,3,)</f>
        <v>255</v>
      </c>
      <c r="G176" s="4">
        <f t="shared" si="6"/>
        <v>0.10344827586206896</v>
      </c>
      <c r="H176" s="5">
        <f t="shared" si="7"/>
        <v>2.3529411764705882E-2</v>
      </c>
    </row>
    <row r="177" spans="1:8" x14ac:dyDescent="0.25">
      <c r="A177">
        <f t="shared" si="8"/>
        <v>12</v>
      </c>
      <c r="B177">
        <f>_xlfn.ISOWEEKNUM(C177)</f>
        <v>51</v>
      </c>
      <c r="C177" s="10">
        <v>44918</v>
      </c>
      <c r="D177">
        <v>7</v>
      </c>
      <c r="E177">
        <f>VLOOKUP(B177,WAU!A:C,3,)</f>
        <v>58</v>
      </c>
      <c r="F177">
        <f>VLOOKUP(A177,MAU!A:C,3,)</f>
        <v>255</v>
      </c>
      <c r="G177" s="4">
        <f t="shared" si="6"/>
        <v>0.1206896551724138</v>
      </c>
      <c r="H177" s="5">
        <f t="shared" si="7"/>
        <v>2.7450980392156862E-2</v>
      </c>
    </row>
    <row r="178" spans="1:8" x14ac:dyDescent="0.25">
      <c r="A178">
        <f t="shared" si="8"/>
        <v>12</v>
      </c>
      <c r="B178">
        <f>_xlfn.ISOWEEKNUM(C178)</f>
        <v>51</v>
      </c>
      <c r="C178" s="10">
        <v>44919</v>
      </c>
      <c r="D178">
        <v>11</v>
      </c>
      <c r="E178">
        <f>VLOOKUP(B178,WAU!A:C,3,)</f>
        <v>58</v>
      </c>
      <c r="F178">
        <f>VLOOKUP(A178,MAU!A:C,3,)</f>
        <v>255</v>
      </c>
      <c r="G178" s="4">
        <f t="shared" si="6"/>
        <v>0.18965517241379309</v>
      </c>
      <c r="H178" s="5">
        <f t="shared" si="7"/>
        <v>4.3137254901960784E-2</v>
      </c>
    </row>
    <row r="179" spans="1:8" x14ac:dyDescent="0.25">
      <c r="A179">
        <f t="shared" si="8"/>
        <v>12</v>
      </c>
      <c r="B179">
        <f>_xlfn.ISOWEEKNUM(C179)</f>
        <v>51</v>
      </c>
      <c r="C179" s="10">
        <v>44920</v>
      </c>
      <c r="D179">
        <v>9</v>
      </c>
      <c r="E179">
        <f>VLOOKUP(B179,WAU!A:C,3,)</f>
        <v>58</v>
      </c>
      <c r="F179">
        <f>VLOOKUP(A179,MAU!A:C,3,)</f>
        <v>255</v>
      </c>
      <c r="G179" s="4">
        <f t="shared" si="6"/>
        <v>0.15517241379310345</v>
      </c>
      <c r="H179" s="5">
        <f t="shared" si="7"/>
        <v>3.5294117647058823E-2</v>
      </c>
    </row>
    <row r="180" spans="1:8" x14ac:dyDescent="0.25">
      <c r="A180">
        <f t="shared" si="8"/>
        <v>12</v>
      </c>
      <c r="B180">
        <f>_xlfn.ISOWEEKNUM(C180)</f>
        <v>52</v>
      </c>
      <c r="C180" s="10">
        <v>44921</v>
      </c>
      <c r="D180">
        <v>11</v>
      </c>
      <c r="E180">
        <f>VLOOKUP(B180,WAU!A:C,3,)</f>
        <v>75</v>
      </c>
      <c r="F180">
        <f>VLOOKUP(A180,MAU!A:C,3,)</f>
        <v>255</v>
      </c>
      <c r="G180" s="4">
        <f t="shared" si="6"/>
        <v>0.14666666666666667</v>
      </c>
      <c r="H180" s="5">
        <f t="shared" si="7"/>
        <v>4.3137254901960784E-2</v>
      </c>
    </row>
    <row r="181" spans="1:8" x14ac:dyDescent="0.25">
      <c r="A181">
        <f t="shared" si="8"/>
        <v>12</v>
      </c>
      <c r="B181">
        <f>_xlfn.ISOWEEKNUM(C181)</f>
        <v>52</v>
      </c>
      <c r="C181" s="10">
        <v>44922</v>
      </c>
      <c r="D181">
        <v>11</v>
      </c>
      <c r="E181">
        <f>VLOOKUP(B181,WAU!A:C,3,)</f>
        <v>75</v>
      </c>
      <c r="F181">
        <f>VLOOKUP(A181,MAU!A:C,3,)</f>
        <v>255</v>
      </c>
      <c r="G181" s="4">
        <f t="shared" si="6"/>
        <v>0.14666666666666667</v>
      </c>
      <c r="H181" s="5">
        <f t="shared" si="7"/>
        <v>4.3137254901960784E-2</v>
      </c>
    </row>
    <row r="182" spans="1:8" x14ac:dyDescent="0.25">
      <c r="A182">
        <f t="shared" si="8"/>
        <v>12</v>
      </c>
      <c r="B182">
        <f>_xlfn.ISOWEEKNUM(C182)</f>
        <v>52</v>
      </c>
      <c r="C182" s="10">
        <v>44923</v>
      </c>
      <c r="D182">
        <v>9</v>
      </c>
      <c r="E182">
        <f>VLOOKUP(B182,WAU!A:C,3,)</f>
        <v>75</v>
      </c>
      <c r="F182">
        <f>VLOOKUP(A182,MAU!A:C,3,)</f>
        <v>255</v>
      </c>
      <c r="G182" s="4">
        <f t="shared" si="6"/>
        <v>0.12</v>
      </c>
      <c r="H182" s="5">
        <f t="shared" si="7"/>
        <v>3.5294117647058823E-2</v>
      </c>
    </row>
    <row r="183" spans="1:8" x14ac:dyDescent="0.25">
      <c r="A183">
        <f t="shared" si="8"/>
        <v>12</v>
      </c>
      <c r="B183">
        <f>_xlfn.ISOWEEKNUM(C183)</f>
        <v>52</v>
      </c>
      <c r="C183" s="10">
        <v>44924</v>
      </c>
      <c r="D183">
        <v>10</v>
      </c>
      <c r="E183">
        <f>VLOOKUP(B183,WAU!A:C,3,)</f>
        <v>75</v>
      </c>
      <c r="F183">
        <f>VLOOKUP(A183,MAU!A:C,3,)</f>
        <v>255</v>
      </c>
      <c r="G183" s="4">
        <f t="shared" si="6"/>
        <v>0.13333333333333333</v>
      </c>
      <c r="H183" s="5">
        <f t="shared" si="7"/>
        <v>3.9215686274509803E-2</v>
      </c>
    </row>
    <row r="184" spans="1:8" x14ac:dyDescent="0.25">
      <c r="A184">
        <f t="shared" si="8"/>
        <v>12</v>
      </c>
      <c r="B184">
        <f>_xlfn.ISOWEEKNUM(C184)</f>
        <v>52</v>
      </c>
      <c r="C184" s="10">
        <v>44925</v>
      </c>
      <c r="D184">
        <v>5</v>
      </c>
      <c r="E184">
        <f>VLOOKUP(B184,WAU!A:C,3,)</f>
        <v>75</v>
      </c>
      <c r="F184">
        <f>VLOOKUP(A184,MAU!A:C,3,)</f>
        <v>255</v>
      </c>
      <c r="G184" s="4">
        <f t="shared" si="6"/>
        <v>6.6666666666666666E-2</v>
      </c>
      <c r="H184" s="5">
        <f t="shared" si="7"/>
        <v>1.9607843137254902E-2</v>
      </c>
    </row>
    <row r="185" spans="1:8" x14ac:dyDescent="0.25">
      <c r="A185">
        <f t="shared" si="8"/>
        <v>12</v>
      </c>
      <c r="B185">
        <f>_xlfn.ISOWEEKNUM(C185)</f>
        <v>52</v>
      </c>
      <c r="C185" s="10">
        <v>44926</v>
      </c>
      <c r="D185">
        <v>16</v>
      </c>
      <c r="E185">
        <f>VLOOKUP(B185,WAU!A:C,3,)</f>
        <v>75</v>
      </c>
      <c r="F185">
        <f>VLOOKUP(A185,MAU!A:C,3,)</f>
        <v>255</v>
      </c>
      <c r="G185" s="4">
        <f t="shared" si="6"/>
        <v>0.21333333333333335</v>
      </c>
      <c r="H185" s="5">
        <f t="shared" si="7"/>
        <v>6.2745098039215685E-2</v>
      </c>
    </row>
    <row r="186" spans="1:8" x14ac:dyDescent="0.25">
      <c r="A186">
        <f t="shared" si="8"/>
        <v>1</v>
      </c>
      <c r="B186">
        <f>_xlfn.ISOWEEKNUM(C186)</f>
        <v>52</v>
      </c>
      <c r="C186" s="10">
        <v>44927</v>
      </c>
      <c r="D186">
        <v>13</v>
      </c>
      <c r="E186">
        <f>VLOOKUP(B186,WAU!A:C,3,)</f>
        <v>75</v>
      </c>
      <c r="F186">
        <f>VLOOKUP(A186,MAU!A:C,3,)</f>
        <v>415</v>
      </c>
      <c r="G186" s="4">
        <f t="shared" si="6"/>
        <v>0.17333333333333334</v>
      </c>
      <c r="H186" s="5">
        <f t="shared" si="7"/>
        <v>3.1325301204819279E-2</v>
      </c>
    </row>
    <row r="187" spans="1:8" x14ac:dyDescent="0.25">
      <c r="A187">
        <f t="shared" si="8"/>
        <v>1</v>
      </c>
      <c r="B187">
        <f>_xlfn.ISOWEEKNUM(C187)</f>
        <v>1</v>
      </c>
      <c r="C187" s="10">
        <v>44928</v>
      </c>
      <c r="D187">
        <v>19</v>
      </c>
      <c r="E187">
        <f>VLOOKUP(B187,WAU!A:C,3,)</f>
        <v>107</v>
      </c>
      <c r="F187">
        <f>VLOOKUP(A187,MAU!A:C,3,)</f>
        <v>415</v>
      </c>
      <c r="G187" s="4">
        <f t="shared" si="6"/>
        <v>0.17757009345794392</v>
      </c>
      <c r="H187" s="5">
        <f t="shared" si="7"/>
        <v>4.5783132530120479E-2</v>
      </c>
    </row>
    <row r="188" spans="1:8" x14ac:dyDescent="0.25">
      <c r="A188">
        <f t="shared" si="8"/>
        <v>1</v>
      </c>
      <c r="B188">
        <f>_xlfn.ISOWEEKNUM(C188)</f>
        <v>1</v>
      </c>
      <c r="C188" s="10">
        <v>44929</v>
      </c>
      <c r="D188">
        <v>17</v>
      </c>
      <c r="E188">
        <f>VLOOKUP(B188,WAU!A:C,3,)</f>
        <v>107</v>
      </c>
      <c r="F188">
        <f>VLOOKUP(A188,MAU!A:C,3,)</f>
        <v>415</v>
      </c>
      <c r="G188" s="4">
        <f t="shared" si="6"/>
        <v>0.15887850467289719</v>
      </c>
      <c r="H188" s="5">
        <f t="shared" si="7"/>
        <v>4.0963855421686748E-2</v>
      </c>
    </row>
    <row r="189" spans="1:8" x14ac:dyDescent="0.25">
      <c r="A189">
        <f t="shared" si="8"/>
        <v>1</v>
      </c>
      <c r="B189">
        <f>_xlfn.ISOWEEKNUM(C189)</f>
        <v>1</v>
      </c>
      <c r="C189" s="10">
        <v>44930</v>
      </c>
      <c r="D189">
        <v>11</v>
      </c>
      <c r="E189">
        <f>VLOOKUP(B189,WAU!A:C,3,)</f>
        <v>107</v>
      </c>
      <c r="F189">
        <f>VLOOKUP(A189,MAU!A:C,3,)</f>
        <v>415</v>
      </c>
      <c r="G189" s="4">
        <f t="shared" si="6"/>
        <v>0.10280373831775701</v>
      </c>
      <c r="H189" s="5">
        <f t="shared" si="7"/>
        <v>2.6506024096385541E-2</v>
      </c>
    </row>
    <row r="190" spans="1:8" x14ac:dyDescent="0.25">
      <c r="A190">
        <f t="shared" si="8"/>
        <v>1</v>
      </c>
      <c r="B190">
        <f>_xlfn.ISOWEEKNUM(C190)</f>
        <v>1</v>
      </c>
      <c r="C190" s="10">
        <v>44931</v>
      </c>
      <c r="D190">
        <v>18</v>
      </c>
      <c r="E190">
        <f>VLOOKUP(B190,WAU!A:C,3,)</f>
        <v>107</v>
      </c>
      <c r="F190">
        <f>VLOOKUP(A190,MAU!A:C,3,)</f>
        <v>415</v>
      </c>
      <c r="G190" s="4">
        <f t="shared" si="6"/>
        <v>0.16822429906542055</v>
      </c>
      <c r="H190" s="5">
        <f t="shared" si="7"/>
        <v>4.3373493975903614E-2</v>
      </c>
    </row>
    <row r="191" spans="1:8" x14ac:dyDescent="0.25">
      <c r="A191">
        <f t="shared" si="8"/>
        <v>1</v>
      </c>
      <c r="B191">
        <f>_xlfn.ISOWEEKNUM(C191)</f>
        <v>1</v>
      </c>
      <c r="C191" s="10">
        <v>44932</v>
      </c>
      <c r="D191">
        <v>15</v>
      </c>
      <c r="E191">
        <f>VLOOKUP(B191,WAU!A:C,3,)</f>
        <v>107</v>
      </c>
      <c r="F191">
        <f>VLOOKUP(A191,MAU!A:C,3,)</f>
        <v>415</v>
      </c>
      <c r="G191" s="4">
        <f t="shared" si="6"/>
        <v>0.14018691588785046</v>
      </c>
      <c r="H191" s="5">
        <f t="shared" si="7"/>
        <v>3.614457831325301E-2</v>
      </c>
    </row>
    <row r="192" spans="1:8" x14ac:dyDescent="0.25">
      <c r="A192">
        <f t="shared" si="8"/>
        <v>1</v>
      </c>
      <c r="B192">
        <f>_xlfn.ISOWEEKNUM(C192)</f>
        <v>1</v>
      </c>
      <c r="C192" s="10">
        <v>44933</v>
      </c>
      <c r="D192">
        <v>15</v>
      </c>
      <c r="E192">
        <f>VLOOKUP(B192,WAU!A:C,3,)</f>
        <v>107</v>
      </c>
      <c r="F192">
        <f>VLOOKUP(A192,MAU!A:C,3,)</f>
        <v>415</v>
      </c>
      <c r="G192" s="4">
        <f t="shared" si="6"/>
        <v>0.14018691588785046</v>
      </c>
      <c r="H192" s="5">
        <f t="shared" si="7"/>
        <v>3.614457831325301E-2</v>
      </c>
    </row>
    <row r="193" spans="1:8" x14ac:dyDescent="0.25">
      <c r="A193">
        <f t="shared" si="8"/>
        <v>1</v>
      </c>
      <c r="B193">
        <f>_xlfn.ISOWEEKNUM(C193)</f>
        <v>1</v>
      </c>
      <c r="C193" s="10">
        <v>44934</v>
      </c>
      <c r="D193">
        <v>12</v>
      </c>
      <c r="E193">
        <f>VLOOKUP(B193,WAU!A:C,3,)</f>
        <v>107</v>
      </c>
      <c r="F193">
        <f>VLOOKUP(A193,MAU!A:C,3,)</f>
        <v>415</v>
      </c>
      <c r="G193" s="4">
        <f t="shared" si="6"/>
        <v>0.11214953271028037</v>
      </c>
      <c r="H193" s="5">
        <f t="shared" si="7"/>
        <v>2.891566265060241E-2</v>
      </c>
    </row>
    <row r="194" spans="1:8" x14ac:dyDescent="0.25">
      <c r="A194">
        <f t="shared" si="8"/>
        <v>1</v>
      </c>
      <c r="B194">
        <f>_xlfn.ISOWEEKNUM(C194)</f>
        <v>2</v>
      </c>
      <c r="C194" s="10">
        <v>44935</v>
      </c>
      <c r="D194">
        <v>15</v>
      </c>
      <c r="E194">
        <f>VLOOKUP(B194,WAU!A:C,3,)</f>
        <v>94</v>
      </c>
      <c r="F194">
        <f>VLOOKUP(A194,MAU!A:C,3,)</f>
        <v>415</v>
      </c>
      <c r="G194" s="4">
        <f t="shared" ref="G194:G257" si="9">D194/E194</f>
        <v>0.15957446808510639</v>
      </c>
      <c r="H194" s="5">
        <f t="shared" ref="H194:H257" si="10">D194/F194</f>
        <v>3.614457831325301E-2</v>
      </c>
    </row>
    <row r="195" spans="1:8" x14ac:dyDescent="0.25">
      <c r="A195">
        <f t="shared" ref="A195:A258" si="11">MONTH(C195)</f>
        <v>1</v>
      </c>
      <c r="B195">
        <f>_xlfn.ISOWEEKNUM(C195)</f>
        <v>2</v>
      </c>
      <c r="C195" s="10">
        <v>44936</v>
      </c>
      <c r="D195">
        <v>15</v>
      </c>
      <c r="E195">
        <f>VLOOKUP(B195,WAU!A:C,3,)</f>
        <v>94</v>
      </c>
      <c r="F195">
        <f>VLOOKUP(A195,MAU!A:C,3,)</f>
        <v>415</v>
      </c>
      <c r="G195" s="4">
        <f t="shared" si="9"/>
        <v>0.15957446808510639</v>
      </c>
      <c r="H195" s="5">
        <f t="shared" si="10"/>
        <v>3.614457831325301E-2</v>
      </c>
    </row>
    <row r="196" spans="1:8" x14ac:dyDescent="0.25">
      <c r="A196">
        <f t="shared" si="11"/>
        <v>1</v>
      </c>
      <c r="B196">
        <f>_xlfn.ISOWEEKNUM(C196)</f>
        <v>2</v>
      </c>
      <c r="C196" s="10">
        <v>44937</v>
      </c>
      <c r="D196">
        <v>17</v>
      </c>
      <c r="E196">
        <f>VLOOKUP(B196,WAU!A:C,3,)</f>
        <v>94</v>
      </c>
      <c r="F196">
        <f>VLOOKUP(A196,MAU!A:C,3,)</f>
        <v>415</v>
      </c>
      <c r="G196" s="4">
        <f t="shared" si="9"/>
        <v>0.18085106382978725</v>
      </c>
      <c r="H196" s="5">
        <f t="shared" si="10"/>
        <v>4.0963855421686748E-2</v>
      </c>
    </row>
    <row r="197" spans="1:8" x14ac:dyDescent="0.25">
      <c r="A197">
        <f t="shared" si="11"/>
        <v>1</v>
      </c>
      <c r="B197">
        <f>_xlfn.ISOWEEKNUM(C197)</f>
        <v>2</v>
      </c>
      <c r="C197" s="10">
        <v>44938</v>
      </c>
      <c r="D197">
        <v>17</v>
      </c>
      <c r="E197">
        <f>VLOOKUP(B197,WAU!A:C,3,)</f>
        <v>94</v>
      </c>
      <c r="F197">
        <f>VLOOKUP(A197,MAU!A:C,3,)</f>
        <v>415</v>
      </c>
      <c r="G197" s="4">
        <f t="shared" si="9"/>
        <v>0.18085106382978725</v>
      </c>
      <c r="H197" s="5">
        <f t="shared" si="10"/>
        <v>4.0963855421686748E-2</v>
      </c>
    </row>
    <row r="198" spans="1:8" x14ac:dyDescent="0.25">
      <c r="A198">
        <f t="shared" si="11"/>
        <v>1</v>
      </c>
      <c r="B198">
        <f>_xlfn.ISOWEEKNUM(C198)</f>
        <v>2</v>
      </c>
      <c r="C198" s="10">
        <v>44939</v>
      </c>
      <c r="D198">
        <v>11</v>
      </c>
      <c r="E198">
        <f>VLOOKUP(B198,WAU!A:C,3,)</f>
        <v>94</v>
      </c>
      <c r="F198">
        <f>VLOOKUP(A198,MAU!A:C,3,)</f>
        <v>415</v>
      </c>
      <c r="G198" s="4">
        <f t="shared" si="9"/>
        <v>0.11702127659574468</v>
      </c>
      <c r="H198" s="5">
        <f t="shared" si="10"/>
        <v>2.6506024096385541E-2</v>
      </c>
    </row>
    <row r="199" spans="1:8" x14ac:dyDescent="0.25">
      <c r="A199">
        <f t="shared" si="11"/>
        <v>1</v>
      </c>
      <c r="B199">
        <f>_xlfn.ISOWEEKNUM(C199)</f>
        <v>2</v>
      </c>
      <c r="C199" s="10">
        <v>44940</v>
      </c>
      <c r="D199">
        <v>8</v>
      </c>
      <c r="E199">
        <f>VLOOKUP(B199,WAU!A:C,3,)</f>
        <v>94</v>
      </c>
      <c r="F199">
        <f>VLOOKUP(A199,MAU!A:C,3,)</f>
        <v>415</v>
      </c>
      <c r="G199" s="4">
        <f t="shared" si="9"/>
        <v>8.5106382978723402E-2</v>
      </c>
      <c r="H199" s="5">
        <f t="shared" si="10"/>
        <v>1.9277108433734941E-2</v>
      </c>
    </row>
    <row r="200" spans="1:8" x14ac:dyDescent="0.25">
      <c r="A200">
        <f t="shared" si="11"/>
        <v>1</v>
      </c>
      <c r="B200">
        <f>_xlfn.ISOWEEKNUM(C200)</f>
        <v>2</v>
      </c>
      <c r="C200" s="10">
        <v>44941</v>
      </c>
      <c r="D200">
        <v>11</v>
      </c>
      <c r="E200">
        <f>VLOOKUP(B200,WAU!A:C,3,)</f>
        <v>94</v>
      </c>
      <c r="F200">
        <f>VLOOKUP(A200,MAU!A:C,3,)</f>
        <v>415</v>
      </c>
      <c r="G200" s="4">
        <f t="shared" si="9"/>
        <v>0.11702127659574468</v>
      </c>
      <c r="H200" s="5">
        <f t="shared" si="10"/>
        <v>2.6506024096385541E-2</v>
      </c>
    </row>
    <row r="201" spans="1:8" x14ac:dyDescent="0.25">
      <c r="A201">
        <f t="shared" si="11"/>
        <v>1</v>
      </c>
      <c r="B201">
        <f>_xlfn.ISOWEEKNUM(C201)</f>
        <v>3</v>
      </c>
      <c r="C201" s="10">
        <v>44942</v>
      </c>
      <c r="D201">
        <v>13</v>
      </c>
      <c r="E201">
        <f>VLOOKUP(B201,WAU!A:C,3,)</f>
        <v>77</v>
      </c>
      <c r="F201">
        <f>VLOOKUP(A201,MAU!A:C,3,)</f>
        <v>415</v>
      </c>
      <c r="G201" s="4">
        <f t="shared" si="9"/>
        <v>0.16883116883116883</v>
      </c>
      <c r="H201" s="5">
        <f t="shared" si="10"/>
        <v>3.1325301204819279E-2</v>
      </c>
    </row>
    <row r="202" spans="1:8" x14ac:dyDescent="0.25">
      <c r="A202">
        <f t="shared" si="11"/>
        <v>1</v>
      </c>
      <c r="B202">
        <f>_xlfn.ISOWEEKNUM(C202)</f>
        <v>3</v>
      </c>
      <c r="C202" s="10">
        <v>44943</v>
      </c>
      <c r="D202">
        <v>14</v>
      </c>
      <c r="E202">
        <f>VLOOKUP(B202,WAU!A:C,3,)</f>
        <v>77</v>
      </c>
      <c r="F202">
        <f>VLOOKUP(A202,MAU!A:C,3,)</f>
        <v>415</v>
      </c>
      <c r="G202" s="4">
        <f t="shared" si="9"/>
        <v>0.18181818181818182</v>
      </c>
      <c r="H202" s="5">
        <f t="shared" si="10"/>
        <v>3.3734939759036145E-2</v>
      </c>
    </row>
    <row r="203" spans="1:8" x14ac:dyDescent="0.25">
      <c r="A203">
        <f t="shared" si="11"/>
        <v>1</v>
      </c>
      <c r="B203">
        <f>_xlfn.ISOWEEKNUM(C203)</f>
        <v>3</v>
      </c>
      <c r="C203" s="10">
        <v>44944</v>
      </c>
      <c r="D203">
        <v>12</v>
      </c>
      <c r="E203">
        <f>VLOOKUP(B203,WAU!A:C,3,)</f>
        <v>77</v>
      </c>
      <c r="F203">
        <f>VLOOKUP(A203,MAU!A:C,3,)</f>
        <v>415</v>
      </c>
      <c r="G203" s="4">
        <f t="shared" si="9"/>
        <v>0.15584415584415584</v>
      </c>
      <c r="H203" s="5">
        <f t="shared" si="10"/>
        <v>2.891566265060241E-2</v>
      </c>
    </row>
    <row r="204" spans="1:8" x14ac:dyDescent="0.25">
      <c r="A204">
        <f t="shared" si="11"/>
        <v>1</v>
      </c>
      <c r="B204">
        <f>_xlfn.ISOWEEKNUM(C204)</f>
        <v>3</v>
      </c>
      <c r="C204" s="10">
        <v>44945</v>
      </c>
      <c r="D204">
        <v>11</v>
      </c>
      <c r="E204">
        <f>VLOOKUP(B204,WAU!A:C,3,)</f>
        <v>77</v>
      </c>
      <c r="F204">
        <f>VLOOKUP(A204,MAU!A:C,3,)</f>
        <v>415</v>
      </c>
      <c r="G204" s="4">
        <f t="shared" si="9"/>
        <v>0.14285714285714285</v>
      </c>
      <c r="H204" s="5">
        <f t="shared" si="10"/>
        <v>2.6506024096385541E-2</v>
      </c>
    </row>
    <row r="205" spans="1:8" x14ac:dyDescent="0.25">
      <c r="A205">
        <f t="shared" si="11"/>
        <v>1</v>
      </c>
      <c r="B205">
        <f>_xlfn.ISOWEEKNUM(C205)</f>
        <v>3</v>
      </c>
      <c r="C205" s="10">
        <v>44946</v>
      </c>
      <c r="D205">
        <v>12</v>
      </c>
      <c r="E205">
        <f>VLOOKUP(B205,WAU!A:C,3,)</f>
        <v>77</v>
      </c>
      <c r="F205">
        <f>VLOOKUP(A205,MAU!A:C,3,)</f>
        <v>415</v>
      </c>
      <c r="G205" s="4">
        <f t="shared" si="9"/>
        <v>0.15584415584415584</v>
      </c>
      <c r="H205" s="5">
        <f t="shared" si="10"/>
        <v>2.891566265060241E-2</v>
      </c>
    </row>
    <row r="206" spans="1:8" x14ac:dyDescent="0.25">
      <c r="A206">
        <f t="shared" si="11"/>
        <v>1</v>
      </c>
      <c r="B206">
        <f>_xlfn.ISOWEEKNUM(C206)</f>
        <v>3</v>
      </c>
      <c r="C206" s="10">
        <v>44947</v>
      </c>
      <c r="D206">
        <v>6</v>
      </c>
      <c r="E206">
        <f>VLOOKUP(B206,WAU!A:C,3,)</f>
        <v>77</v>
      </c>
      <c r="F206">
        <f>VLOOKUP(A206,MAU!A:C,3,)</f>
        <v>415</v>
      </c>
      <c r="G206" s="4">
        <f t="shared" si="9"/>
        <v>7.792207792207792E-2</v>
      </c>
      <c r="H206" s="5">
        <f t="shared" si="10"/>
        <v>1.4457831325301205E-2</v>
      </c>
    </row>
    <row r="207" spans="1:8" x14ac:dyDescent="0.25">
      <c r="A207">
        <f t="shared" si="11"/>
        <v>1</v>
      </c>
      <c r="B207">
        <f>_xlfn.ISOWEEKNUM(C207)</f>
        <v>3</v>
      </c>
      <c r="C207" s="10">
        <v>44948</v>
      </c>
      <c r="D207">
        <v>9</v>
      </c>
      <c r="E207">
        <f>VLOOKUP(B207,WAU!A:C,3,)</f>
        <v>77</v>
      </c>
      <c r="F207">
        <f>VLOOKUP(A207,MAU!A:C,3,)</f>
        <v>415</v>
      </c>
      <c r="G207" s="4">
        <f t="shared" si="9"/>
        <v>0.11688311688311688</v>
      </c>
      <c r="H207" s="5">
        <f t="shared" si="10"/>
        <v>2.1686746987951807E-2</v>
      </c>
    </row>
    <row r="208" spans="1:8" x14ac:dyDescent="0.25">
      <c r="A208">
        <f t="shared" si="11"/>
        <v>1</v>
      </c>
      <c r="B208">
        <f>_xlfn.ISOWEEKNUM(C208)</f>
        <v>4</v>
      </c>
      <c r="C208" s="10">
        <v>44949</v>
      </c>
      <c r="D208">
        <v>14</v>
      </c>
      <c r="E208">
        <f>VLOOKUP(B208,WAU!A:C,3,)</f>
        <v>95</v>
      </c>
      <c r="F208">
        <f>VLOOKUP(A208,MAU!A:C,3,)</f>
        <v>415</v>
      </c>
      <c r="G208" s="4">
        <f t="shared" si="9"/>
        <v>0.14736842105263157</v>
      </c>
      <c r="H208" s="5">
        <f t="shared" si="10"/>
        <v>3.3734939759036145E-2</v>
      </c>
    </row>
    <row r="209" spans="1:8" x14ac:dyDescent="0.25">
      <c r="A209">
        <f t="shared" si="11"/>
        <v>1</v>
      </c>
      <c r="B209">
        <f>_xlfn.ISOWEEKNUM(C209)</f>
        <v>4</v>
      </c>
      <c r="C209" s="10">
        <v>44950</v>
      </c>
      <c r="D209">
        <v>18</v>
      </c>
      <c r="E209">
        <f>VLOOKUP(B209,WAU!A:C,3,)</f>
        <v>95</v>
      </c>
      <c r="F209">
        <f>VLOOKUP(A209,MAU!A:C,3,)</f>
        <v>415</v>
      </c>
      <c r="G209" s="4">
        <f t="shared" si="9"/>
        <v>0.18947368421052632</v>
      </c>
      <c r="H209" s="5">
        <f t="shared" si="10"/>
        <v>4.3373493975903614E-2</v>
      </c>
    </row>
    <row r="210" spans="1:8" x14ac:dyDescent="0.25">
      <c r="A210">
        <f t="shared" si="11"/>
        <v>1</v>
      </c>
      <c r="B210">
        <f>_xlfn.ISOWEEKNUM(C210)</f>
        <v>4</v>
      </c>
      <c r="C210" s="10">
        <v>44951</v>
      </c>
      <c r="D210">
        <v>13</v>
      </c>
      <c r="E210">
        <f>VLOOKUP(B210,WAU!A:C,3,)</f>
        <v>95</v>
      </c>
      <c r="F210">
        <f>VLOOKUP(A210,MAU!A:C,3,)</f>
        <v>415</v>
      </c>
      <c r="G210" s="4">
        <f t="shared" si="9"/>
        <v>0.1368421052631579</v>
      </c>
      <c r="H210" s="5">
        <f t="shared" si="10"/>
        <v>3.1325301204819279E-2</v>
      </c>
    </row>
    <row r="211" spans="1:8" x14ac:dyDescent="0.25">
      <c r="A211">
        <f t="shared" si="11"/>
        <v>1</v>
      </c>
      <c r="B211">
        <f>_xlfn.ISOWEEKNUM(C211)</f>
        <v>4</v>
      </c>
      <c r="C211" s="10">
        <v>44952</v>
      </c>
      <c r="D211">
        <v>13</v>
      </c>
      <c r="E211">
        <f>VLOOKUP(B211,WAU!A:C,3,)</f>
        <v>95</v>
      </c>
      <c r="F211">
        <f>VLOOKUP(A211,MAU!A:C,3,)</f>
        <v>415</v>
      </c>
      <c r="G211" s="4">
        <f t="shared" si="9"/>
        <v>0.1368421052631579</v>
      </c>
      <c r="H211" s="5">
        <f t="shared" si="10"/>
        <v>3.1325301204819279E-2</v>
      </c>
    </row>
    <row r="212" spans="1:8" x14ac:dyDescent="0.25">
      <c r="A212">
        <f t="shared" si="11"/>
        <v>1</v>
      </c>
      <c r="B212">
        <f>_xlfn.ISOWEEKNUM(C212)</f>
        <v>4</v>
      </c>
      <c r="C212" s="10">
        <v>44953</v>
      </c>
      <c r="D212">
        <v>14</v>
      </c>
      <c r="E212">
        <f>VLOOKUP(B212,WAU!A:C,3,)</f>
        <v>95</v>
      </c>
      <c r="F212">
        <f>VLOOKUP(A212,MAU!A:C,3,)</f>
        <v>415</v>
      </c>
      <c r="G212" s="4">
        <f t="shared" si="9"/>
        <v>0.14736842105263157</v>
      </c>
      <c r="H212" s="5">
        <f t="shared" si="10"/>
        <v>3.3734939759036145E-2</v>
      </c>
    </row>
    <row r="213" spans="1:8" x14ac:dyDescent="0.25">
      <c r="A213">
        <f t="shared" si="11"/>
        <v>1</v>
      </c>
      <c r="B213">
        <f>_xlfn.ISOWEEKNUM(C213)</f>
        <v>4</v>
      </c>
      <c r="C213" s="10">
        <v>44954</v>
      </c>
      <c r="D213">
        <v>11</v>
      </c>
      <c r="E213">
        <f>VLOOKUP(B213,WAU!A:C,3,)</f>
        <v>95</v>
      </c>
      <c r="F213">
        <f>VLOOKUP(A213,MAU!A:C,3,)</f>
        <v>415</v>
      </c>
      <c r="G213" s="4">
        <f t="shared" si="9"/>
        <v>0.11578947368421053</v>
      </c>
      <c r="H213" s="5">
        <f t="shared" si="10"/>
        <v>2.6506024096385541E-2</v>
      </c>
    </row>
    <row r="214" spans="1:8" x14ac:dyDescent="0.25">
      <c r="A214">
        <f t="shared" si="11"/>
        <v>1</v>
      </c>
      <c r="B214">
        <f>_xlfn.ISOWEEKNUM(C214)</f>
        <v>4</v>
      </c>
      <c r="C214" s="10">
        <v>44955</v>
      </c>
      <c r="D214">
        <v>12</v>
      </c>
      <c r="E214">
        <f>VLOOKUP(B214,WAU!A:C,3,)</f>
        <v>95</v>
      </c>
      <c r="F214">
        <f>VLOOKUP(A214,MAU!A:C,3,)</f>
        <v>415</v>
      </c>
      <c r="G214" s="4">
        <f t="shared" si="9"/>
        <v>0.12631578947368421</v>
      </c>
      <c r="H214" s="5">
        <f t="shared" si="10"/>
        <v>2.891566265060241E-2</v>
      </c>
    </row>
    <row r="215" spans="1:8" x14ac:dyDescent="0.25">
      <c r="A215">
        <f t="shared" si="11"/>
        <v>1</v>
      </c>
      <c r="B215">
        <f>_xlfn.ISOWEEKNUM(C215)</f>
        <v>5</v>
      </c>
      <c r="C215" s="10">
        <v>44956</v>
      </c>
      <c r="D215">
        <v>16</v>
      </c>
      <c r="E215">
        <f>VLOOKUP(B215,WAU!A:C,3,)</f>
        <v>91</v>
      </c>
      <c r="F215">
        <f>VLOOKUP(A215,MAU!A:C,3,)</f>
        <v>415</v>
      </c>
      <c r="G215" s="4">
        <f t="shared" si="9"/>
        <v>0.17582417582417584</v>
      </c>
      <c r="H215" s="5">
        <f t="shared" si="10"/>
        <v>3.8554216867469883E-2</v>
      </c>
    </row>
    <row r="216" spans="1:8" x14ac:dyDescent="0.25">
      <c r="A216">
        <f t="shared" si="11"/>
        <v>1</v>
      </c>
      <c r="B216">
        <f>_xlfn.ISOWEEKNUM(C216)</f>
        <v>5</v>
      </c>
      <c r="C216" s="10">
        <v>44957</v>
      </c>
      <c r="D216">
        <v>13</v>
      </c>
      <c r="E216">
        <f>VLOOKUP(B216,WAU!A:C,3,)</f>
        <v>91</v>
      </c>
      <c r="F216">
        <f>VLOOKUP(A216,MAU!A:C,3,)</f>
        <v>415</v>
      </c>
      <c r="G216" s="4">
        <f t="shared" si="9"/>
        <v>0.14285714285714285</v>
      </c>
      <c r="H216" s="5">
        <f t="shared" si="10"/>
        <v>3.1325301204819279E-2</v>
      </c>
    </row>
    <row r="217" spans="1:8" x14ac:dyDescent="0.25">
      <c r="A217">
        <f t="shared" si="11"/>
        <v>2</v>
      </c>
      <c r="B217">
        <f>_xlfn.ISOWEEKNUM(C217)</f>
        <v>5</v>
      </c>
      <c r="C217" s="10">
        <v>44958</v>
      </c>
      <c r="D217">
        <v>16</v>
      </c>
      <c r="E217">
        <f>VLOOKUP(B217,WAU!A:C,3,)</f>
        <v>91</v>
      </c>
      <c r="F217">
        <f>VLOOKUP(A217,MAU!A:C,3,)</f>
        <v>458</v>
      </c>
      <c r="G217" s="4">
        <f t="shared" si="9"/>
        <v>0.17582417582417584</v>
      </c>
      <c r="H217" s="5">
        <f t="shared" si="10"/>
        <v>3.4934497816593885E-2</v>
      </c>
    </row>
    <row r="218" spans="1:8" x14ac:dyDescent="0.25">
      <c r="A218">
        <f t="shared" si="11"/>
        <v>2</v>
      </c>
      <c r="B218">
        <f>_xlfn.ISOWEEKNUM(C218)</f>
        <v>5</v>
      </c>
      <c r="C218" s="10">
        <v>44959</v>
      </c>
      <c r="D218">
        <v>15</v>
      </c>
      <c r="E218">
        <f>VLOOKUP(B218,WAU!A:C,3,)</f>
        <v>91</v>
      </c>
      <c r="F218">
        <f>VLOOKUP(A218,MAU!A:C,3,)</f>
        <v>458</v>
      </c>
      <c r="G218" s="4">
        <f t="shared" si="9"/>
        <v>0.16483516483516483</v>
      </c>
      <c r="H218" s="5">
        <f t="shared" si="10"/>
        <v>3.2751091703056769E-2</v>
      </c>
    </row>
    <row r="219" spans="1:8" x14ac:dyDescent="0.25">
      <c r="A219">
        <f t="shared" si="11"/>
        <v>2</v>
      </c>
      <c r="B219">
        <f>_xlfn.ISOWEEKNUM(C219)</f>
        <v>5</v>
      </c>
      <c r="C219" s="10">
        <v>44960</v>
      </c>
      <c r="D219">
        <v>12</v>
      </c>
      <c r="E219">
        <f>VLOOKUP(B219,WAU!A:C,3,)</f>
        <v>91</v>
      </c>
      <c r="F219">
        <f>VLOOKUP(A219,MAU!A:C,3,)</f>
        <v>458</v>
      </c>
      <c r="G219" s="4">
        <f t="shared" si="9"/>
        <v>0.13186813186813187</v>
      </c>
      <c r="H219" s="5">
        <f t="shared" si="10"/>
        <v>2.6200873362445413E-2</v>
      </c>
    </row>
    <row r="220" spans="1:8" x14ac:dyDescent="0.25">
      <c r="A220">
        <f t="shared" si="11"/>
        <v>2</v>
      </c>
      <c r="B220">
        <f>_xlfn.ISOWEEKNUM(C220)</f>
        <v>5</v>
      </c>
      <c r="C220" s="10">
        <v>44961</v>
      </c>
      <c r="D220">
        <v>11</v>
      </c>
      <c r="E220">
        <f>VLOOKUP(B220,WAU!A:C,3,)</f>
        <v>91</v>
      </c>
      <c r="F220">
        <f>VLOOKUP(A220,MAU!A:C,3,)</f>
        <v>458</v>
      </c>
      <c r="G220" s="4">
        <f t="shared" si="9"/>
        <v>0.12087912087912088</v>
      </c>
      <c r="H220" s="5">
        <f t="shared" si="10"/>
        <v>2.4017467248908297E-2</v>
      </c>
    </row>
    <row r="221" spans="1:8" x14ac:dyDescent="0.25">
      <c r="A221">
        <f t="shared" si="11"/>
        <v>2</v>
      </c>
      <c r="B221">
        <f>_xlfn.ISOWEEKNUM(C221)</f>
        <v>5</v>
      </c>
      <c r="C221" s="10">
        <v>44962</v>
      </c>
      <c r="D221">
        <v>8</v>
      </c>
      <c r="E221">
        <f>VLOOKUP(B221,WAU!A:C,3,)</f>
        <v>91</v>
      </c>
      <c r="F221">
        <f>VLOOKUP(A221,MAU!A:C,3,)</f>
        <v>458</v>
      </c>
      <c r="G221" s="4">
        <f t="shared" si="9"/>
        <v>8.7912087912087919E-2</v>
      </c>
      <c r="H221" s="5">
        <f t="shared" si="10"/>
        <v>1.7467248908296942E-2</v>
      </c>
    </row>
    <row r="222" spans="1:8" x14ac:dyDescent="0.25">
      <c r="A222">
        <f t="shared" si="11"/>
        <v>2</v>
      </c>
      <c r="B222">
        <f>_xlfn.ISOWEEKNUM(C222)</f>
        <v>6</v>
      </c>
      <c r="C222" s="10">
        <v>44963</v>
      </c>
      <c r="D222">
        <v>11</v>
      </c>
      <c r="E222">
        <f>VLOOKUP(B222,WAU!A:C,3,)</f>
        <v>86</v>
      </c>
      <c r="F222">
        <f>VLOOKUP(A222,MAU!A:C,3,)</f>
        <v>458</v>
      </c>
      <c r="G222" s="4">
        <f t="shared" si="9"/>
        <v>0.12790697674418605</v>
      </c>
      <c r="H222" s="5">
        <f t="shared" si="10"/>
        <v>2.4017467248908297E-2</v>
      </c>
    </row>
    <row r="223" spans="1:8" x14ac:dyDescent="0.25">
      <c r="A223">
        <f t="shared" si="11"/>
        <v>2</v>
      </c>
      <c r="B223">
        <f>_xlfn.ISOWEEKNUM(C223)</f>
        <v>6</v>
      </c>
      <c r="C223" s="10">
        <v>44964</v>
      </c>
      <c r="D223">
        <v>17</v>
      </c>
      <c r="E223">
        <f>VLOOKUP(B223,WAU!A:C,3,)</f>
        <v>86</v>
      </c>
      <c r="F223">
        <f>VLOOKUP(A223,MAU!A:C,3,)</f>
        <v>458</v>
      </c>
      <c r="G223" s="4">
        <f t="shared" si="9"/>
        <v>0.19767441860465115</v>
      </c>
      <c r="H223" s="5">
        <f t="shared" si="10"/>
        <v>3.7117903930131008E-2</v>
      </c>
    </row>
    <row r="224" spans="1:8" x14ac:dyDescent="0.25">
      <c r="A224">
        <f t="shared" si="11"/>
        <v>2</v>
      </c>
      <c r="B224">
        <f>_xlfn.ISOWEEKNUM(C224)</f>
        <v>6</v>
      </c>
      <c r="C224" s="10">
        <v>44965</v>
      </c>
      <c r="D224">
        <v>15</v>
      </c>
      <c r="E224">
        <f>VLOOKUP(B224,WAU!A:C,3,)</f>
        <v>86</v>
      </c>
      <c r="F224">
        <f>VLOOKUP(A224,MAU!A:C,3,)</f>
        <v>458</v>
      </c>
      <c r="G224" s="4">
        <f t="shared" si="9"/>
        <v>0.1744186046511628</v>
      </c>
      <c r="H224" s="5">
        <f t="shared" si="10"/>
        <v>3.2751091703056769E-2</v>
      </c>
    </row>
    <row r="225" spans="1:8" x14ac:dyDescent="0.25">
      <c r="A225">
        <f t="shared" si="11"/>
        <v>2</v>
      </c>
      <c r="B225">
        <f>_xlfn.ISOWEEKNUM(C225)</f>
        <v>6</v>
      </c>
      <c r="C225" s="10">
        <v>44966</v>
      </c>
      <c r="D225">
        <v>12</v>
      </c>
      <c r="E225">
        <f>VLOOKUP(B225,WAU!A:C,3,)</f>
        <v>86</v>
      </c>
      <c r="F225">
        <f>VLOOKUP(A225,MAU!A:C,3,)</f>
        <v>458</v>
      </c>
      <c r="G225" s="4">
        <f t="shared" si="9"/>
        <v>0.13953488372093023</v>
      </c>
      <c r="H225" s="5">
        <f t="shared" si="10"/>
        <v>2.6200873362445413E-2</v>
      </c>
    </row>
    <row r="226" spans="1:8" x14ac:dyDescent="0.25">
      <c r="A226">
        <f t="shared" si="11"/>
        <v>2</v>
      </c>
      <c r="B226">
        <f>_xlfn.ISOWEEKNUM(C226)</f>
        <v>6</v>
      </c>
      <c r="C226" s="10">
        <v>44967</v>
      </c>
      <c r="D226">
        <v>10</v>
      </c>
      <c r="E226">
        <f>VLOOKUP(B226,WAU!A:C,3,)</f>
        <v>86</v>
      </c>
      <c r="F226">
        <f>VLOOKUP(A226,MAU!A:C,3,)</f>
        <v>458</v>
      </c>
      <c r="G226" s="4">
        <f t="shared" si="9"/>
        <v>0.11627906976744186</v>
      </c>
      <c r="H226" s="5">
        <f t="shared" si="10"/>
        <v>2.1834061135371178E-2</v>
      </c>
    </row>
    <row r="227" spans="1:8" x14ac:dyDescent="0.25">
      <c r="A227">
        <f t="shared" si="11"/>
        <v>2</v>
      </c>
      <c r="B227">
        <f>_xlfn.ISOWEEKNUM(C227)</f>
        <v>6</v>
      </c>
      <c r="C227" s="10">
        <v>44968</v>
      </c>
      <c r="D227">
        <v>15</v>
      </c>
      <c r="E227">
        <f>VLOOKUP(B227,WAU!A:C,3,)</f>
        <v>86</v>
      </c>
      <c r="F227">
        <f>VLOOKUP(A227,MAU!A:C,3,)</f>
        <v>458</v>
      </c>
      <c r="G227" s="4">
        <f t="shared" si="9"/>
        <v>0.1744186046511628</v>
      </c>
      <c r="H227" s="5">
        <f t="shared" si="10"/>
        <v>3.2751091703056769E-2</v>
      </c>
    </row>
    <row r="228" spans="1:8" x14ac:dyDescent="0.25">
      <c r="A228">
        <f t="shared" si="11"/>
        <v>2</v>
      </c>
      <c r="B228">
        <f>_xlfn.ISOWEEKNUM(C228)</f>
        <v>6</v>
      </c>
      <c r="C228" s="10">
        <v>44969</v>
      </c>
      <c r="D228">
        <v>6</v>
      </c>
      <c r="E228">
        <f>VLOOKUP(B228,WAU!A:C,3,)</f>
        <v>86</v>
      </c>
      <c r="F228">
        <f>VLOOKUP(A228,MAU!A:C,3,)</f>
        <v>458</v>
      </c>
      <c r="G228" s="4">
        <f t="shared" si="9"/>
        <v>6.9767441860465115E-2</v>
      </c>
      <c r="H228" s="5">
        <f t="shared" si="10"/>
        <v>1.3100436681222707E-2</v>
      </c>
    </row>
    <row r="229" spans="1:8" x14ac:dyDescent="0.25">
      <c r="A229">
        <f t="shared" si="11"/>
        <v>2</v>
      </c>
      <c r="B229">
        <f>_xlfn.ISOWEEKNUM(C229)</f>
        <v>7</v>
      </c>
      <c r="C229" s="10">
        <v>44970</v>
      </c>
      <c r="D229">
        <v>14</v>
      </c>
      <c r="E229">
        <f>VLOOKUP(B229,WAU!A:C,3,)</f>
        <v>86</v>
      </c>
      <c r="F229">
        <f>VLOOKUP(A229,MAU!A:C,3,)</f>
        <v>458</v>
      </c>
      <c r="G229" s="4">
        <f t="shared" si="9"/>
        <v>0.16279069767441862</v>
      </c>
      <c r="H229" s="5">
        <f t="shared" si="10"/>
        <v>3.0567685589519649E-2</v>
      </c>
    </row>
    <row r="230" spans="1:8" x14ac:dyDescent="0.25">
      <c r="A230">
        <f t="shared" si="11"/>
        <v>2</v>
      </c>
      <c r="B230">
        <f>_xlfn.ISOWEEKNUM(C230)</f>
        <v>7</v>
      </c>
      <c r="C230" s="10">
        <v>44971</v>
      </c>
      <c r="D230">
        <v>10</v>
      </c>
      <c r="E230">
        <f>VLOOKUP(B230,WAU!A:C,3,)</f>
        <v>86</v>
      </c>
      <c r="F230">
        <f>VLOOKUP(A230,MAU!A:C,3,)</f>
        <v>458</v>
      </c>
      <c r="G230" s="4">
        <f t="shared" si="9"/>
        <v>0.11627906976744186</v>
      </c>
      <c r="H230" s="5">
        <f t="shared" si="10"/>
        <v>2.1834061135371178E-2</v>
      </c>
    </row>
    <row r="231" spans="1:8" x14ac:dyDescent="0.25">
      <c r="A231">
        <f t="shared" si="11"/>
        <v>2</v>
      </c>
      <c r="B231">
        <f>_xlfn.ISOWEEKNUM(C231)</f>
        <v>7</v>
      </c>
      <c r="C231" s="10">
        <v>44972</v>
      </c>
      <c r="D231">
        <v>12</v>
      </c>
      <c r="E231">
        <f>VLOOKUP(B231,WAU!A:C,3,)</f>
        <v>86</v>
      </c>
      <c r="F231">
        <f>VLOOKUP(A231,MAU!A:C,3,)</f>
        <v>458</v>
      </c>
      <c r="G231" s="4">
        <f t="shared" si="9"/>
        <v>0.13953488372093023</v>
      </c>
      <c r="H231" s="5">
        <f t="shared" si="10"/>
        <v>2.6200873362445413E-2</v>
      </c>
    </row>
    <row r="232" spans="1:8" x14ac:dyDescent="0.25">
      <c r="A232">
        <f t="shared" si="11"/>
        <v>2</v>
      </c>
      <c r="B232">
        <f>_xlfn.ISOWEEKNUM(C232)</f>
        <v>7</v>
      </c>
      <c r="C232" s="10">
        <v>44973</v>
      </c>
      <c r="D232">
        <v>15</v>
      </c>
      <c r="E232">
        <f>VLOOKUP(B232,WAU!A:C,3,)</f>
        <v>86</v>
      </c>
      <c r="F232">
        <f>VLOOKUP(A232,MAU!A:C,3,)</f>
        <v>458</v>
      </c>
      <c r="G232" s="4">
        <f t="shared" si="9"/>
        <v>0.1744186046511628</v>
      </c>
      <c r="H232" s="5">
        <f t="shared" si="10"/>
        <v>3.2751091703056769E-2</v>
      </c>
    </row>
    <row r="233" spans="1:8" x14ac:dyDescent="0.25">
      <c r="A233">
        <f t="shared" si="11"/>
        <v>2</v>
      </c>
      <c r="B233">
        <f>_xlfn.ISOWEEKNUM(C233)</f>
        <v>7</v>
      </c>
      <c r="C233" s="10">
        <v>44974</v>
      </c>
      <c r="D233">
        <v>11</v>
      </c>
      <c r="E233">
        <f>VLOOKUP(B233,WAU!A:C,3,)</f>
        <v>86</v>
      </c>
      <c r="F233">
        <f>VLOOKUP(A233,MAU!A:C,3,)</f>
        <v>458</v>
      </c>
      <c r="G233" s="4">
        <f t="shared" si="9"/>
        <v>0.12790697674418605</v>
      </c>
      <c r="H233" s="5">
        <f t="shared" si="10"/>
        <v>2.4017467248908297E-2</v>
      </c>
    </row>
    <row r="234" spans="1:8" x14ac:dyDescent="0.25">
      <c r="A234">
        <f t="shared" si="11"/>
        <v>2</v>
      </c>
      <c r="B234">
        <f>_xlfn.ISOWEEKNUM(C234)</f>
        <v>7</v>
      </c>
      <c r="C234" s="10">
        <v>44975</v>
      </c>
      <c r="D234">
        <v>10</v>
      </c>
      <c r="E234">
        <f>VLOOKUP(B234,WAU!A:C,3,)</f>
        <v>86</v>
      </c>
      <c r="F234">
        <f>VLOOKUP(A234,MAU!A:C,3,)</f>
        <v>458</v>
      </c>
      <c r="G234" s="4">
        <f t="shared" si="9"/>
        <v>0.11627906976744186</v>
      </c>
      <c r="H234" s="5">
        <f t="shared" si="10"/>
        <v>2.1834061135371178E-2</v>
      </c>
    </row>
    <row r="235" spans="1:8" x14ac:dyDescent="0.25">
      <c r="A235">
        <f t="shared" si="11"/>
        <v>2</v>
      </c>
      <c r="B235">
        <f>_xlfn.ISOWEEKNUM(C235)</f>
        <v>7</v>
      </c>
      <c r="C235" s="10">
        <v>44976</v>
      </c>
      <c r="D235">
        <v>14</v>
      </c>
      <c r="E235">
        <f>VLOOKUP(B235,WAU!A:C,3,)</f>
        <v>86</v>
      </c>
      <c r="F235">
        <f>VLOOKUP(A235,MAU!A:C,3,)</f>
        <v>458</v>
      </c>
      <c r="G235" s="4">
        <f t="shared" si="9"/>
        <v>0.16279069767441862</v>
      </c>
      <c r="H235" s="5">
        <f t="shared" si="10"/>
        <v>3.0567685589519649E-2</v>
      </c>
    </row>
    <row r="236" spans="1:8" x14ac:dyDescent="0.25">
      <c r="A236">
        <f t="shared" si="11"/>
        <v>2</v>
      </c>
      <c r="B236">
        <f>_xlfn.ISOWEEKNUM(C236)</f>
        <v>8</v>
      </c>
      <c r="C236" s="10">
        <v>44977</v>
      </c>
      <c r="D236">
        <v>39</v>
      </c>
      <c r="E236">
        <f>VLOOKUP(B236,WAU!A:C,3,)</f>
        <v>175</v>
      </c>
      <c r="F236">
        <f>VLOOKUP(A236,MAU!A:C,3,)</f>
        <v>458</v>
      </c>
      <c r="G236" s="4">
        <f t="shared" si="9"/>
        <v>0.22285714285714286</v>
      </c>
      <c r="H236" s="5">
        <f t="shared" si="10"/>
        <v>8.5152838427947602E-2</v>
      </c>
    </row>
    <row r="237" spans="1:8" x14ac:dyDescent="0.25">
      <c r="A237">
        <f t="shared" si="11"/>
        <v>2</v>
      </c>
      <c r="B237">
        <f>_xlfn.ISOWEEKNUM(C237)</f>
        <v>8</v>
      </c>
      <c r="C237" s="10">
        <v>44978</v>
      </c>
      <c r="D237">
        <v>23</v>
      </c>
      <c r="E237">
        <f>VLOOKUP(B237,WAU!A:C,3,)</f>
        <v>175</v>
      </c>
      <c r="F237">
        <f>VLOOKUP(A237,MAU!A:C,3,)</f>
        <v>458</v>
      </c>
      <c r="G237" s="4">
        <f t="shared" si="9"/>
        <v>0.13142857142857142</v>
      </c>
      <c r="H237" s="5">
        <f t="shared" si="10"/>
        <v>5.0218340611353711E-2</v>
      </c>
    </row>
    <row r="238" spans="1:8" x14ac:dyDescent="0.25">
      <c r="A238">
        <f t="shared" si="11"/>
        <v>2</v>
      </c>
      <c r="B238">
        <f>_xlfn.ISOWEEKNUM(C238)</f>
        <v>8</v>
      </c>
      <c r="C238" s="10">
        <v>44979</v>
      </c>
      <c r="D238">
        <v>21</v>
      </c>
      <c r="E238">
        <f>VLOOKUP(B238,WAU!A:C,3,)</f>
        <v>175</v>
      </c>
      <c r="F238">
        <f>VLOOKUP(A238,MAU!A:C,3,)</f>
        <v>458</v>
      </c>
      <c r="G238" s="4">
        <f t="shared" si="9"/>
        <v>0.12</v>
      </c>
      <c r="H238" s="5">
        <f t="shared" si="10"/>
        <v>4.5851528384279479E-2</v>
      </c>
    </row>
    <row r="239" spans="1:8" x14ac:dyDescent="0.25">
      <c r="A239">
        <f t="shared" si="11"/>
        <v>2</v>
      </c>
      <c r="B239">
        <f>_xlfn.ISOWEEKNUM(C239)</f>
        <v>8</v>
      </c>
      <c r="C239" s="10">
        <v>44980</v>
      </c>
      <c r="D239">
        <v>19</v>
      </c>
      <c r="E239">
        <f>VLOOKUP(B239,WAU!A:C,3,)</f>
        <v>175</v>
      </c>
      <c r="F239">
        <f>VLOOKUP(A239,MAU!A:C,3,)</f>
        <v>458</v>
      </c>
      <c r="G239" s="4">
        <f t="shared" si="9"/>
        <v>0.10857142857142857</v>
      </c>
      <c r="H239" s="5">
        <f t="shared" si="10"/>
        <v>4.148471615720524E-2</v>
      </c>
    </row>
    <row r="240" spans="1:8" x14ac:dyDescent="0.25">
      <c r="A240">
        <f t="shared" si="11"/>
        <v>2</v>
      </c>
      <c r="B240">
        <f>_xlfn.ISOWEEKNUM(C240)</f>
        <v>8</v>
      </c>
      <c r="C240" s="10">
        <v>44981</v>
      </c>
      <c r="D240">
        <v>23</v>
      </c>
      <c r="E240">
        <f>VLOOKUP(B240,WAU!A:C,3,)</f>
        <v>175</v>
      </c>
      <c r="F240">
        <f>VLOOKUP(A240,MAU!A:C,3,)</f>
        <v>458</v>
      </c>
      <c r="G240" s="4">
        <f t="shared" si="9"/>
        <v>0.13142857142857142</v>
      </c>
      <c r="H240" s="5">
        <f t="shared" si="10"/>
        <v>5.0218340611353711E-2</v>
      </c>
    </row>
    <row r="241" spans="1:8" x14ac:dyDescent="0.25">
      <c r="A241">
        <f t="shared" si="11"/>
        <v>2</v>
      </c>
      <c r="B241">
        <f>_xlfn.ISOWEEKNUM(C241)</f>
        <v>8</v>
      </c>
      <c r="C241" s="10">
        <v>44982</v>
      </c>
      <c r="D241">
        <v>21</v>
      </c>
      <c r="E241">
        <f>VLOOKUP(B241,WAU!A:C,3,)</f>
        <v>175</v>
      </c>
      <c r="F241">
        <f>VLOOKUP(A241,MAU!A:C,3,)</f>
        <v>458</v>
      </c>
      <c r="G241" s="4">
        <f t="shared" si="9"/>
        <v>0.12</v>
      </c>
      <c r="H241" s="5">
        <f t="shared" si="10"/>
        <v>4.5851528384279479E-2</v>
      </c>
    </row>
    <row r="242" spans="1:8" x14ac:dyDescent="0.25">
      <c r="A242">
        <f t="shared" si="11"/>
        <v>2</v>
      </c>
      <c r="B242">
        <f>_xlfn.ISOWEEKNUM(C242)</f>
        <v>8</v>
      </c>
      <c r="C242" s="10">
        <v>44983</v>
      </c>
      <c r="D242">
        <v>29</v>
      </c>
      <c r="E242">
        <f>VLOOKUP(B242,WAU!A:C,3,)</f>
        <v>175</v>
      </c>
      <c r="F242">
        <f>VLOOKUP(A242,MAU!A:C,3,)</f>
        <v>458</v>
      </c>
      <c r="G242" s="4">
        <f t="shared" si="9"/>
        <v>0.1657142857142857</v>
      </c>
      <c r="H242" s="5">
        <f t="shared" si="10"/>
        <v>6.3318777292576414E-2</v>
      </c>
    </row>
    <row r="243" spans="1:8" x14ac:dyDescent="0.25">
      <c r="A243">
        <f t="shared" si="11"/>
        <v>2</v>
      </c>
      <c r="B243">
        <f>_xlfn.ISOWEEKNUM(C243)</f>
        <v>9</v>
      </c>
      <c r="C243" s="10">
        <v>44984</v>
      </c>
      <c r="D243">
        <v>24</v>
      </c>
      <c r="E243">
        <f>VLOOKUP(B243,WAU!A:C,3,)</f>
        <v>172</v>
      </c>
      <c r="F243">
        <f>VLOOKUP(A243,MAU!A:C,3,)</f>
        <v>458</v>
      </c>
      <c r="G243" s="4">
        <f t="shared" si="9"/>
        <v>0.13953488372093023</v>
      </c>
      <c r="H243" s="5">
        <f t="shared" si="10"/>
        <v>5.2401746724890827E-2</v>
      </c>
    </row>
    <row r="244" spans="1:8" x14ac:dyDescent="0.25">
      <c r="A244">
        <f t="shared" si="11"/>
        <v>2</v>
      </c>
      <c r="B244">
        <f>_xlfn.ISOWEEKNUM(C244)</f>
        <v>9</v>
      </c>
      <c r="C244" s="10">
        <v>44985</v>
      </c>
      <c r="D244">
        <v>25</v>
      </c>
      <c r="E244">
        <f>VLOOKUP(B244,WAU!A:C,3,)</f>
        <v>172</v>
      </c>
      <c r="F244">
        <f>VLOOKUP(A244,MAU!A:C,3,)</f>
        <v>458</v>
      </c>
      <c r="G244" s="4">
        <f t="shared" si="9"/>
        <v>0.14534883720930233</v>
      </c>
      <c r="H244" s="5">
        <f t="shared" si="10"/>
        <v>5.458515283842795E-2</v>
      </c>
    </row>
    <row r="245" spans="1:8" x14ac:dyDescent="0.25">
      <c r="A245">
        <f t="shared" si="11"/>
        <v>3</v>
      </c>
      <c r="B245">
        <f>_xlfn.ISOWEEKNUM(C245)</f>
        <v>9</v>
      </c>
      <c r="C245" s="10">
        <v>44986</v>
      </c>
      <c r="D245">
        <v>26</v>
      </c>
      <c r="E245">
        <f>VLOOKUP(B245,WAU!A:C,3,)</f>
        <v>172</v>
      </c>
      <c r="F245">
        <f>VLOOKUP(A245,MAU!A:C,3,)</f>
        <v>681</v>
      </c>
      <c r="G245" s="4">
        <f t="shared" si="9"/>
        <v>0.15116279069767441</v>
      </c>
      <c r="H245" s="5">
        <f t="shared" si="10"/>
        <v>3.81791483113069E-2</v>
      </c>
    </row>
    <row r="246" spans="1:8" x14ac:dyDescent="0.25">
      <c r="A246">
        <f t="shared" si="11"/>
        <v>3</v>
      </c>
      <c r="B246">
        <f>_xlfn.ISOWEEKNUM(C246)</f>
        <v>9</v>
      </c>
      <c r="C246" s="10">
        <v>44987</v>
      </c>
      <c r="D246">
        <v>27</v>
      </c>
      <c r="E246">
        <f>VLOOKUP(B246,WAU!A:C,3,)</f>
        <v>172</v>
      </c>
      <c r="F246">
        <f>VLOOKUP(A246,MAU!A:C,3,)</f>
        <v>681</v>
      </c>
      <c r="G246" s="4">
        <f t="shared" si="9"/>
        <v>0.15697674418604651</v>
      </c>
      <c r="H246" s="5">
        <f t="shared" si="10"/>
        <v>3.9647577092511016E-2</v>
      </c>
    </row>
    <row r="247" spans="1:8" x14ac:dyDescent="0.25">
      <c r="A247">
        <f t="shared" si="11"/>
        <v>3</v>
      </c>
      <c r="B247">
        <f>_xlfn.ISOWEEKNUM(C247)</f>
        <v>9</v>
      </c>
      <c r="C247" s="10">
        <v>44988</v>
      </c>
      <c r="D247">
        <v>18</v>
      </c>
      <c r="E247">
        <f>VLOOKUP(B247,WAU!A:C,3,)</f>
        <v>172</v>
      </c>
      <c r="F247">
        <f>VLOOKUP(A247,MAU!A:C,3,)</f>
        <v>681</v>
      </c>
      <c r="G247" s="4">
        <f t="shared" si="9"/>
        <v>0.10465116279069768</v>
      </c>
      <c r="H247" s="5">
        <f t="shared" si="10"/>
        <v>2.643171806167401E-2</v>
      </c>
    </row>
    <row r="248" spans="1:8" x14ac:dyDescent="0.25">
      <c r="A248">
        <f t="shared" si="11"/>
        <v>3</v>
      </c>
      <c r="B248">
        <f>_xlfn.ISOWEEKNUM(C248)</f>
        <v>9</v>
      </c>
      <c r="C248" s="10">
        <v>44989</v>
      </c>
      <c r="D248">
        <v>25</v>
      </c>
      <c r="E248">
        <f>VLOOKUP(B248,WAU!A:C,3,)</f>
        <v>172</v>
      </c>
      <c r="F248">
        <f>VLOOKUP(A248,MAU!A:C,3,)</f>
        <v>681</v>
      </c>
      <c r="G248" s="4">
        <f t="shared" si="9"/>
        <v>0.14534883720930233</v>
      </c>
      <c r="H248" s="5">
        <f t="shared" si="10"/>
        <v>3.6710719530102791E-2</v>
      </c>
    </row>
    <row r="249" spans="1:8" x14ac:dyDescent="0.25">
      <c r="A249">
        <f t="shared" si="11"/>
        <v>3</v>
      </c>
      <c r="B249">
        <f>_xlfn.ISOWEEKNUM(C249)</f>
        <v>9</v>
      </c>
      <c r="C249" s="10">
        <v>44990</v>
      </c>
      <c r="D249">
        <v>27</v>
      </c>
      <c r="E249">
        <f>VLOOKUP(B249,WAU!A:C,3,)</f>
        <v>172</v>
      </c>
      <c r="F249">
        <f>VLOOKUP(A249,MAU!A:C,3,)</f>
        <v>681</v>
      </c>
      <c r="G249" s="4">
        <f t="shared" si="9"/>
        <v>0.15697674418604651</v>
      </c>
      <c r="H249" s="5">
        <f t="shared" si="10"/>
        <v>3.9647577092511016E-2</v>
      </c>
    </row>
    <row r="250" spans="1:8" x14ac:dyDescent="0.25">
      <c r="A250">
        <f t="shared" si="11"/>
        <v>3</v>
      </c>
      <c r="B250">
        <f>_xlfn.ISOWEEKNUM(C250)</f>
        <v>10</v>
      </c>
      <c r="C250" s="10">
        <v>44991</v>
      </c>
      <c r="D250">
        <v>17</v>
      </c>
      <c r="E250">
        <f>VLOOKUP(B250,WAU!A:C,3,)</f>
        <v>165</v>
      </c>
      <c r="F250">
        <f>VLOOKUP(A250,MAU!A:C,3,)</f>
        <v>681</v>
      </c>
      <c r="G250" s="4">
        <f t="shared" si="9"/>
        <v>0.10303030303030303</v>
      </c>
      <c r="H250" s="5">
        <f t="shared" si="10"/>
        <v>2.4963289280469897E-2</v>
      </c>
    </row>
    <row r="251" spans="1:8" x14ac:dyDescent="0.25">
      <c r="A251">
        <f t="shared" si="11"/>
        <v>3</v>
      </c>
      <c r="B251">
        <f>_xlfn.ISOWEEKNUM(C251)</f>
        <v>10</v>
      </c>
      <c r="C251" s="10">
        <v>44992</v>
      </c>
      <c r="D251">
        <v>25</v>
      </c>
      <c r="E251">
        <f>VLOOKUP(B251,WAU!A:C,3,)</f>
        <v>165</v>
      </c>
      <c r="F251">
        <f>VLOOKUP(A251,MAU!A:C,3,)</f>
        <v>681</v>
      </c>
      <c r="G251" s="4">
        <f t="shared" si="9"/>
        <v>0.15151515151515152</v>
      </c>
      <c r="H251" s="5">
        <f t="shared" si="10"/>
        <v>3.6710719530102791E-2</v>
      </c>
    </row>
    <row r="252" spans="1:8" x14ac:dyDescent="0.25">
      <c r="A252">
        <f t="shared" si="11"/>
        <v>3</v>
      </c>
      <c r="B252">
        <f>_xlfn.ISOWEEKNUM(C252)</f>
        <v>10</v>
      </c>
      <c r="C252" s="10">
        <v>44993</v>
      </c>
      <c r="D252">
        <v>23</v>
      </c>
      <c r="E252">
        <f>VLOOKUP(B252,WAU!A:C,3,)</f>
        <v>165</v>
      </c>
      <c r="F252">
        <f>VLOOKUP(A252,MAU!A:C,3,)</f>
        <v>681</v>
      </c>
      <c r="G252" s="4">
        <f t="shared" si="9"/>
        <v>0.1393939393939394</v>
      </c>
      <c r="H252" s="5">
        <f t="shared" si="10"/>
        <v>3.3773861967694566E-2</v>
      </c>
    </row>
    <row r="253" spans="1:8" x14ac:dyDescent="0.25">
      <c r="A253">
        <f t="shared" si="11"/>
        <v>3</v>
      </c>
      <c r="B253">
        <f>_xlfn.ISOWEEKNUM(C253)</f>
        <v>10</v>
      </c>
      <c r="C253" s="10">
        <v>44994</v>
      </c>
      <c r="D253">
        <v>25</v>
      </c>
      <c r="E253">
        <f>VLOOKUP(B253,WAU!A:C,3,)</f>
        <v>165</v>
      </c>
      <c r="F253">
        <f>VLOOKUP(A253,MAU!A:C,3,)</f>
        <v>681</v>
      </c>
      <c r="G253" s="4">
        <f t="shared" si="9"/>
        <v>0.15151515151515152</v>
      </c>
      <c r="H253" s="5">
        <f t="shared" si="10"/>
        <v>3.6710719530102791E-2</v>
      </c>
    </row>
    <row r="254" spans="1:8" x14ac:dyDescent="0.25">
      <c r="A254">
        <f t="shared" si="11"/>
        <v>3</v>
      </c>
      <c r="B254">
        <f>_xlfn.ISOWEEKNUM(C254)</f>
        <v>10</v>
      </c>
      <c r="C254" s="10">
        <v>44995</v>
      </c>
      <c r="D254">
        <v>21</v>
      </c>
      <c r="E254">
        <f>VLOOKUP(B254,WAU!A:C,3,)</f>
        <v>165</v>
      </c>
      <c r="F254">
        <f>VLOOKUP(A254,MAU!A:C,3,)</f>
        <v>681</v>
      </c>
      <c r="G254" s="4">
        <f t="shared" si="9"/>
        <v>0.12727272727272726</v>
      </c>
      <c r="H254" s="5">
        <f t="shared" si="10"/>
        <v>3.0837004405286344E-2</v>
      </c>
    </row>
    <row r="255" spans="1:8" x14ac:dyDescent="0.25">
      <c r="A255">
        <f t="shared" si="11"/>
        <v>3</v>
      </c>
      <c r="B255">
        <f>_xlfn.ISOWEEKNUM(C255)</f>
        <v>10</v>
      </c>
      <c r="C255" s="10">
        <v>44996</v>
      </c>
      <c r="D255">
        <v>29</v>
      </c>
      <c r="E255">
        <f>VLOOKUP(B255,WAU!A:C,3,)</f>
        <v>165</v>
      </c>
      <c r="F255">
        <f>VLOOKUP(A255,MAU!A:C,3,)</f>
        <v>681</v>
      </c>
      <c r="G255" s="4">
        <f t="shared" si="9"/>
        <v>0.17575757575757575</v>
      </c>
      <c r="H255" s="5">
        <f t="shared" si="10"/>
        <v>4.2584434654919234E-2</v>
      </c>
    </row>
    <row r="256" spans="1:8" x14ac:dyDescent="0.25">
      <c r="A256">
        <f t="shared" si="11"/>
        <v>3</v>
      </c>
      <c r="B256">
        <f>_xlfn.ISOWEEKNUM(C256)</f>
        <v>10</v>
      </c>
      <c r="C256" s="10">
        <v>44997</v>
      </c>
      <c r="D256">
        <v>25</v>
      </c>
      <c r="E256">
        <f>VLOOKUP(B256,WAU!A:C,3,)</f>
        <v>165</v>
      </c>
      <c r="F256">
        <f>VLOOKUP(A256,MAU!A:C,3,)</f>
        <v>681</v>
      </c>
      <c r="G256" s="4">
        <f t="shared" si="9"/>
        <v>0.15151515151515152</v>
      </c>
      <c r="H256" s="5">
        <f t="shared" si="10"/>
        <v>3.6710719530102791E-2</v>
      </c>
    </row>
    <row r="257" spans="1:8" x14ac:dyDescent="0.25">
      <c r="A257">
        <f t="shared" si="11"/>
        <v>3</v>
      </c>
      <c r="B257">
        <f>_xlfn.ISOWEEKNUM(C257)</f>
        <v>11</v>
      </c>
      <c r="C257" s="10">
        <v>44998</v>
      </c>
      <c r="D257">
        <v>18</v>
      </c>
      <c r="E257">
        <f>VLOOKUP(B257,WAU!A:C,3,)</f>
        <v>164</v>
      </c>
      <c r="F257">
        <f>VLOOKUP(A257,MAU!A:C,3,)</f>
        <v>681</v>
      </c>
      <c r="G257" s="4">
        <f t="shared" si="9"/>
        <v>0.10975609756097561</v>
      </c>
      <c r="H257" s="5">
        <f t="shared" si="10"/>
        <v>2.643171806167401E-2</v>
      </c>
    </row>
    <row r="258" spans="1:8" x14ac:dyDescent="0.25">
      <c r="A258">
        <f t="shared" si="11"/>
        <v>3</v>
      </c>
      <c r="B258">
        <f>_xlfn.ISOWEEKNUM(C258)</f>
        <v>11</v>
      </c>
      <c r="C258" s="10">
        <v>44999</v>
      </c>
      <c r="D258">
        <v>30</v>
      </c>
      <c r="E258">
        <f>VLOOKUP(B258,WAU!A:C,3,)</f>
        <v>164</v>
      </c>
      <c r="F258">
        <f>VLOOKUP(A258,MAU!A:C,3,)</f>
        <v>681</v>
      </c>
      <c r="G258" s="4">
        <f t="shared" ref="G258:G274" si="12">D258/E258</f>
        <v>0.18292682926829268</v>
      </c>
      <c r="H258" s="5">
        <f t="shared" ref="H258:H274" si="13">D258/F258</f>
        <v>4.405286343612335E-2</v>
      </c>
    </row>
    <row r="259" spans="1:8" x14ac:dyDescent="0.25">
      <c r="A259">
        <f t="shared" ref="A259:A274" si="14">MONTH(C259)</f>
        <v>3</v>
      </c>
      <c r="B259">
        <f>_xlfn.ISOWEEKNUM(C259)</f>
        <v>11</v>
      </c>
      <c r="C259" s="10">
        <v>45000</v>
      </c>
      <c r="D259">
        <v>26</v>
      </c>
      <c r="E259">
        <f>VLOOKUP(B259,WAU!A:C,3,)</f>
        <v>164</v>
      </c>
      <c r="F259">
        <f>VLOOKUP(A259,MAU!A:C,3,)</f>
        <v>681</v>
      </c>
      <c r="G259" s="4">
        <f t="shared" si="12"/>
        <v>0.15853658536585366</v>
      </c>
      <c r="H259" s="5">
        <f t="shared" si="13"/>
        <v>3.81791483113069E-2</v>
      </c>
    </row>
    <row r="260" spans="1:8" x14ac:dyDescent="0.25">
      <c r="A260">
        <f t="shared" si="14"/>
        <v>3</v>
      </c>
      <c r="B260">
        <f>_xlfn.ISOWEEKNUM(C260)</f>
        <v>11</v>
      </c>
      <c r="C260" s="10">
        <v>45001</v>
      </c>
      <c r="D260">
        <v>20</v>
      </c>
      <c r="E260">
        <f>VLOOKUP(B260,WAU!A:C,3,)</f>
        <v>164</v>
      </c>
      <c r="F260">
        <f>VLOOKUP(A260,MAU!A:C,3,)</f>
        <v>681</v>
      </c>
      <c r="G260" s="4">
        <f t="shared" si="12"/>
        <v>0.12195121951219512</v>
      </c>
      <c r="H260" s="5">
        <f t="shared" si="13"/>
        <v>2.9368575624082231E-2</v>
      </c>
    </row>
    <row r="261" spans="1:8" x14ac:dyDescent="0.25">
      <c r="A261">
        <f t="shared" si="14"/>
        <v>3</v>
      </c>
      <c r="B261">
        <f>_xlfn.ISOWEEKNUM(C261)</f>
        <v>11</v>
      </c>
      <c r="C261" s="10">
        <v>45002</v>
      </c>
      <c r="D261">
        <v>22</v>
      </c>
      <c r="E261">
        <f>VLOOKUP(B261,WAU!A:C,3,)</f>
        <v>164</v>
      </c>
      <c r="F261">
        <f>VLOOKUP(A261,MAU!A:C,3,)</f>
        <v>681</v>
      </c>
      <c r="G261" s="4">
        <f t="shared" si="12"/>
        <v>0.13414634146341464</v>
      </c>
      <c r="H261" s="5">
        <f t="shared" si="13"/>
        <v>3.2305433186490456E-2</v>
      </c>
    </row>
    <row r="262" spans="1:8" x14ac:dyDescent="0.25">
      <c r="A262">
        <f t="shared" si="14"/>
        <v>3</v>
      </c>
      <c r="B262">
        <f>_xlfn.ISOWEEKNUM(C262)</f>
        <v>11</v>
      </c>
      <c r="C262" s="10">
        <v>45003</v>
      </c>
      <c r="D262">
        <v>22</v>
      </c>
      <c r="E262">
        <f>VLOOKUP(B262,WAU!A:C,3,)</f>
        <v>164</v>
      </c>
      <c r="F262">
        <f>VLOOKUP(A262,MAU!A:C,3,)</f>
        <v>681</v>
      </c>
      <c r="G262" s="4">
        <f t="shared" si="12"/>
        <v>0.13414634146341464</v>
      </c>
      <c r="H262" s="5">
        <f t="shared" si="13"/>
        <v>3.2305433186490456E-2</v>
      </c>
    </row>
    <row r="263" spans="1:8" x14ac:dyDescent="0.25">
      <c r="A263">
        <f t="shared" si="14"/>
        <v>3</v>
      </c>
      <c r="B263">
        <f>_xlfn.ISOWEEKNUM(C263)</f>
        <v>11</v>
      </c>
      <c r="C263" s="10">
        <v>45004</v>
      </c>
      <c r="D263">
        <v>26</v>
      </c>
      <c r="E263">
        <f>VLOOKUP(B263,WAU!A:C,3,)</f>
        <v>164</v>
      </c>
      <c r="F263">
        <f>VLOOKUP(A263,MAU!A:C,3,)</f>
        <v>681</v>
      </c>
      <c r="G263" s="4">
        <f t="shared" si="12"/>
        <v>0.15853658536585366</v>
      </c>
      <c r="H263" s="5">
        <f t="shared" si="13"/>
        <v>3.81791483113069E-2</v>
      </c>
    </row>
    <row r="264" spans="1:8" x14ac:dyDescent="0.25">
      <c r="A264">
        <f t="shared" si="14"/>
        <v>3</v>
      </c>
      <c r="B264">
        <f>_xlfn.ISOWEEKNUM(C264)</f>
        <v>12</v>
      </c>
      <c r="C264" s="10">
        <v>45005</v>
      </c>
      <c r="D264">
        <v>17</v>
      </c>
      <c r="E264">
        <f>VLOOKUP(B264,WAU!A:C,3,)</f>
        <v>145</v>
      </c>
      <c r="F264">
        <f>VLOOKUP(A264,MAU!A:C,3,)</f>
        <v>681</v>
      </c>
      <c r="G264" s="4">
        <f t="shared" si="12"/>
        <v>0.11724137931034483</v>
      </c>
      <c r="H264" s="5">
        <f t="shared" si="13"/>
        <v>2.4963289280469897E-2</v>
      </c>
    </row>
    <row r="265" spans="1:8" x14ac:dyDescent="0.25">
      <c r="A265">
        <f t="shared" si="14"/>
        <v>3</v>
      </c>
      <c r="B265">
        <f>_xlfn.ISOWEEKNUM(C265)</f>
        <v>12</v>
      </c>
      <c r="C265" s="10">
        <v>45006</v>
      </c>
      <c r="D265">
        <v>23</v>
      </c>
      <c r="E265">
        <f>VLOOKUP(B265,WAU!A:C,3,)</f>
        <v>145</v>
      </c>
      <c r="F265">
        <f>VLOOKUP(A265,MAU!A:C,3,)</f>
        <v>681</v>
      </c>
      <c r="G265" s="4">
        <f t="shared" si="12"/>
        <v>0.15862068965517243</v>
      </c>
      <c r="H265" s="5">
        <f t="shared" si="13"/>
        <v>3.3773861967694566E-2</v>
      </c>
    </row>
    <row r="266" spans="1:8" x14ac:dyDescent="0.25">
      <c r="A266">
        <f t="shared" si="14"/>
        <v>3</v>
      </c>
      <c r="B266">
        <f>_xlfn.ISOWEEKNUM(C266)</f>
        <v>12</v>
      </c>
      <c r="C266" s="10">
        <v>45007</v>
      </c>
      <c r="D266">
        <v>27</v>
      </c>
      <c r="E266">
        <f>VLOOKUP(B266,WAU!A:C,3,)</f>
        <v>145</v>
      </c>
      <c r="F266">
        <f>VLOOKUP(A266,MAU!A:C,3,)</f>
        <v>681</v>
      </c>
      <c r="G266" s="4">
        <f t="shared" si="12"/>
        <v>0.18620689655172415</v>
      </c>
      <c r="H266" s="5">
        <f t="shared" si="13"/>
        <v>3.9647577092511016E-2</v>
      </c>
    </row>
    <row r="267" spans="1:8" x14ac:dyDescent="0.25">
      <c r="A267">
        <f t="shared" si="14"/>
        <v>3</v>
      </c>
      <c r="B267">
        <f>_xlfn.ISOWEEKNUM(C267)</f>
        <v>12</v>
      </c>
      <c r="C267" s="10">
        <v>45008</v>
      </c>
      <c r="D267">
        <v>18</v>
      </c>
      <c r="E267">
        <f>VLOOKUP(B267,WAU!A:C,3,)</f>
        <v>145</v>
      </c>
      <c r="F267">
        <f>VLOOKUP(A267,MAU!A:C,3,)</f>
        <v>681</v>
      </c>
      <c r="G267" s="4">
        <f t="shared" si="12"/>
        <v>0.12413793103448276</v>
      </c>
      <c r="H267" s="5">
        <f t="shared" si="13"/>
        <v>2.643171806167401E-2</v>
      </c>
    </row>
    <row r="268" spans="1:8" x14ac:dyDescent="0.25">
      <c r="A268">
        <f t="shared" si="14"/>
        <v>3</v>
      </c>
      <c r="B268">
        <f>_xlfn.ISOWEEKNUM(C268)</f>
        <v>12</v>
      </c>
      <c r="C268" s="10">
        <v>45009</v>
      </c>
      <c r="D268">
        <v>15</v>
      </c>
      <c r="E268">
        <f>VLOOKUP(B268,WAU!A:C,3,)</f>
        <v>145</v>
      </c>
      <c r="F268">
        <f>VLOOKUP(A268,MAU!A:C,3,)</f>
        <v>681</v>
      </c>
      <c r="G268" s="4">
        <f t="shared" si="12"/>
        <v>0.10344827586206896</v>
      </c>
      <c r="H268" s="5">
        <f t="shared" si="13"/>
        <v>2.2026431718061675E-2</v>
      </c>
    </row>
    <row r="269" spans="1:8" x14ac:dyDescent="0.25">
      <c r="A269">
        <f t="shared" si="14"/>
        <v>3</v>
      </c>
      <c r="B269">
        <f>_xlfn.ISOWEEKNUM(C269)</f>
        <v>12</v>
      </c>
      <c r="C269" s="10">
        <v>45010</v>
      </c>
      <c r="D269">
        <v>28</v>
      </c>
      <c r="E269">
        <f>VLOOKUP(B269,WAU!A:C,3,)</f>
        <v>145</v>
      </c>
      <c r="F269">
        <f>VLOOKUP(A269,MAU!A:C,3,)</f>
        <v>681</v>
      </c>
      <c r="G269" s="4">
        <f t="shared" si="12"/>
        <v>0.19310344827586207</v>
      </c>
      <c r="H269" s="5">
        <f t="shared" si="13"/>
        <v>4.1116005873715125E-2</v>
      </c>
    </row>
    <row r="270" spans="1:8" x14ac:dyDescent="0.25">
      <c r="A270">
        <f t="shared" si="14"/>
        <v>3</v>
      </c>
      <c r="B270">
        <f>_xlfn.ISOWEEKNUM(C270)</f>
        <v>12</v>
      </c>
      <c r="C270" s="10">
        <v>45011</v>
      </c>
      <c r="D270">
        <v>17</v>
      </c>
      <c r="E270">
        <f>VLOOKUP(B270,WAU!A:C,3,)</f>
        <v>145</v>
      </c>
      <c r="F270">
        <f>VLOOKUP(A270,MAU!A:C,3,)</f>
        <v>681</v>
      </c>
      <c r="G270" s="4">
        <f t="shared" si="12"/>
        <v>0.11724137931034483</v>
      </c>
      <c r="H270" s="5">
        <f t="shared" si="13"/>
        <v>2.4963289280469897E-2</v>
      </c>
    </row>
    <row r="271" spans="1:8" x14ac:dyDescent="0.25">
      <c r="A271">
        <f t="shared" si="14"/>
        <v>3</v>
      </c>
      <c r="B271">
        <f>_xlfn.ISOWEEKNUM(C271)</f>
        <v>13</v>
      </c>
      <c r="C271" s="10">
        <v>45012</v>
      </c>
      <c r="D271">
        <v>28</v>
      </c>
      <c r="E271">
        <f>VLOOKUP(B271,WAU!A:C,3,)</f>
        <v>84</v>
      </c>
      <c r="F271">
        <f>VLOOKUP(A271,MAU!A:C,3,)</f>
        <v>681</v>
      </c>
      <c r="G271" s="4">
        <f t="shared" si="12"/>
        <v>0.33333333333333331</v>
      </c>
      <c r="H271" s="5">
        <f t="shared" si="13"/>
        <v>4.1116005873715125E-2</v>
      </c>
    </row>
    <row r="272" spans="1:8" x14ac:dyDescent="0.25">
      <c r="A272">
        <f t="shared" si="14"/>
        <v>3</v>
      </c>
      <c r="B272">
        <f>_xlfn.ISOWEEKNUM(C272)</f>
        <v>13</v>
      </c>
      <c r="C272" s="10">
        <v>45013</v>
      </c>
      <c r="D272">
        <v>16</v>
      </c>
      <c r="E272">
        <f>VLOOKUP(B272,WAU!A:C,3,)</f>
        <v>84</v>
      </c>
      <c r="F272">
        <f>VLOOKUP(A272,MAU!A:C,3,)</f>
        <v>681</v>
      </c>
      <c r="G272" s="4">
        <f t="shared" si="12"/>
        <v>0.19047619047619047</v>
      </c>
      <c r="H272" s="5">
        <f t="shared" si="13"/>
        <v>2.3494860499265784E-2</v>
      </c>
    </row>
    <row r="273" spans="1:8" x14ac:dyDescent="0.25">
      <c r="A273">
        <f t="shared" si="14"/>
        <v>3</v>
      </c>
      <c r="B273">
        <f>_xlfn.ISOWEEKNUM(C273)</f>
        <v>13</v>
      </c>
      <c r="C273" s="10">
        <v>45014</v>
      </c>
      <c r="D273">
        <v>20</v>
      </c>
      <c r="E273">
        <f>VLOOKUP(B273,WAU!A:C,3,)</f>
        <v>84</v>
      </c>
      <c r="F273">
        <f>VLOOKUP(A273,MAU!A:C,3,)</f>
        <v>681</v>
      </c>
      <c r="G273" s="4">
        <f t="shared" si="12"/>
        <v>0.23809523809523808</v>
      </c>
      <c r="H273" s="5">
        <f t="shared" si="13"/>
        <v>2.9368575624082231E-2</v>
      </c>
    </row>
    <row r="274" spans="1:8" x14ac:dyDescent="0.25">
      <c r="A274">
        <f t="shared" si="14"/>
        <v>3</v>
      </c>
      <c r="B274">
        <f>_xlfn.ISOWEEKNUM(C274)</f>
        <v>13</v>
      </c>
      <c r="C274" s="10">
        <v>45015</v>
      </c>
      <c r="D274">
        <v>20</v>
      </c>
      <c r="E274">
        <f>VLOOKUP(B274,WAU!A:C,3,)</f>
        <v>84</v>
      </c>
      <c r="F274">
        <f>VLOOKUP(A274,MAU!A:C,3,)</f>
        <v>681</v>
      </c>
      <c r="G274" s="4">
        <f t="shared" si="12"/>
        <v>0.23809523809523808</v>
      </c>
      <c r="H274" s="5">
        <f t="shared" si="13"/>
        <v>2.9368575624082231E-2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MAU</vt:lpstr>
      <vt:lpstr>WAU</vt:lpstr>
      <vt:lpstr>DAU</vt:lpstr>
      <vt:lpstr>Визуализация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2025-10-04T09:53:08Z</dcterms:created>
  <dcterms:modified xsi:type="dcterms:W3CDTF">2025-10-04T13:05:06Z</dcterms:modified>
</cp:coreProperties>
</file>