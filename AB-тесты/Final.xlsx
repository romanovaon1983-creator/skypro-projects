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SkyPro\ДИПЛОМ\с работы\"/>
    </mc:Choice>
  </mc:AlternateContent>
  <xr:revisionPtr revIDLastSave="0" documentId="13_ncr:1_{58638281-0B70-45A8-AE0F-3D3309F35936}" xr6:coauthVersionLast="47" xr6:coauthVersionMax="47" xr10:uidLastSave="{00000000-0000-0000-0000-000000000000}"/>
  <bookViews>
    <workbookView xWindow="3672" yWindow="1500" windowWidth="18756" windowHeight="14100" activeTab="1" xr2:uid="{00000000-000D-0000-FFFF-FFFF00000000}"/>
  </bookViews>
  <sheets>
    <sheet name="ИТОГ" sheetId="4" r:id="rId1"/>
    <sheet name="Growth" sheetId="1" r:id="rId2"/>
    <sheet name="Decline" sheetId="2" r:id="rId3"/>
    <sheet name="No Change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3" l="1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2" i="3"/>
  <c r="Q33" i="3" l="1"/>
  <c r="B8" i="4" s="1"/>
  <c r="O3" i="3"/>
  <c r="P3" i="3" s="1"/>
  <c r="O4" i="3"/>
  <c r="P4" i="3" s="1"/>
  <c r="O5" i="3"/>
  <c r="P5" i="3" s="1"/>
  <c r="O6" i="3"/>
  <c r="P6" i="3" s="1"/>
  <c r="O7" i="3"/>
  <c r="P7" i="3" s="1"/>
  <c r="O8" i="3"/>
  <c r="P8" i="3" s="1"/>
  <c r="O9" i="3"/>
  <c r="P9" i="3" s="1"/>
  <c r="O10" i="3"/>
  <c r="P10" i="3" s="1"/>
  <c r="O11" i="3"/>
  <c r="P11" i="3" s="1"/>
  <c r="O12" i="3"/>
  <c r="P12" i="3" s="1"/>
  <c r="O13" i="3"/>
  <c r="P13" i="3" s="1"/>
  <c r="O14" i="3"/>
  <c r="P14" i="3" s="1"/>
  <c r="O15" i="3"/>
  <c r="P15" i="3" s="1"/>
  <c r="O16" i="3"/>
  <c r="P16" i="3" s="1"/>
  <c r="O17" i="3"/>
  <c r="P17" i="3" s="1"/>
  <c r="O18" i="3"/>
  <c r="P18" i="3" s="1"/>
  <c r="O19" i="3"/>
  <c r="P19" i="3" s="1"/>
  <c r="O20" i="3"/>
  <c r="P20" i="3" s="1"/>
  <c r="O21" i="3"/>
  <c r="P21" i="3" s="1"/>
  <c r="O22" i="3"/>
  <c r="P22" i="3" s="1"/>
  <c r="O23" i="3"/>
  <c r="P23" i="3" s="1"/>
  <c r="O24" i="3"/>
  <c r="P24" i="3" s="1"/>
  <c r="O25" i="3"/>
  <c r="P25" i="3" s="1"/>
  <c r="O26" i="3"/>
  <c r="P26" i="3" s="1"/>
  <c r="O27" i="3"/>
  <c r="P27" i="3" s="1"/>
  <c r="O28" i="3"/>
  <c r="P28" i="3" s="1"/>
  <c r="O29" i="3"/>
  <c r="P29" i="3" s="1"/>
  <c r="O30" i="3"/>
  <c r="P30" i="3" s="1"/>
  <c r="O31" i="3"/>
  <c r="P31" i="3" s="1"/>
  <c r="O32" i="3"/>
  <c r="P32" i="3" s="1"/>
  <c r="O2" i="3"/>
  <c r="P2" i="3" s="1"/>
  <c r="E5" i="2"/>
  <c r="E19" i="1"/>
  <c r="O4" i="2"/>
  <c r="O3" i="2"/>
  <c r="O2" i="2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2" i="1"/>
  <c r="O5" i="2" l="1"/>
  <c r="B6" i="4" s="1"/>
  <c r="O19" i="1"/>
  <c r="B5" i="4" s="1"/>
  <c r="B7" i="4" l="1"/>
</calcChain>
</file>

<file path=xl/sharedStrings.xml><?xml version="1.0" encoding="utf-8"?>
<sst xmlns="http://schemas.openxmlformats.org/spreadsheetml/2006/main" count="157" uniqueCount="45">
  <si>
    <t>city</t>
  </si>
  <si>
    <t>id_trading_point</t>
  </si>
  <si>
    <t>count_test</t>
  </si>
  <si>
    <t>count_control</t>
  </si>
  <si>
    <t>count_all</t>
  </si>
  <si>
    <t>percent_count</t>
  </si>
  <si>
    <t>avg_payment_test</t>
  </si>
  <si>
    <t>avg_payment_control</t>
  </si>
  <si>
    <t>diff</t>
  </si>
  <si>
    <t>sigma_test</t>
  </si>
  <si>
    <t>sigma_control</t>
  </si>
  <si>
    <t>ttest</t>
  </si>
  <si>
    <t>pvalue_ttest</t>
  </si>
  <si>
    <t>Conclusion</t>
  </si>
  <si>
    <t>Владимир</t>
  </si>
  <si>
    <t>Growth</t>
  </si>
  <si>
    <t>Казань</t>
  </si>
  <si>
    <t>Москва</t>
  </si>
  <si>
    <t>Самара</t>
  </si>
  <si>
    <t>Санкт-Петербург</t>
  </si>
  <si>
    <t>Волгоград</t>
  </si>
  <si>
    <t>Decline</t>
  </si>
  <si>
    <t>Краснодар</t>
  </si>
  <si>
    <t>Дмитров</t>
  </si>
  <si>
    <t>No Change</t>
  </si>
  <si>
    <t>Красноярск</t>
  </si>
  <si>
    <t>Мурманск</t>
  </si>
  <si>
    <t>Саратов</t>
  </si>
  <si>
    <t>Сахалинск</t>
  </si>
  <si>
    <t>Сочи</t>
  </si>
  <si>
    <t>Тольятти</t>
  </si>
  <si>
    <t>Тюмень</t>
  </si>
  <si>
    <t>Вводные данные</t>
  </si>
  <si>
    <t>N</t>
  </si>
  <si>
    <t>MDE</t>
  </si>
  <si>
    <t>Итоговые результаты</t>
  </si>
  <si>
    <t>Положительный исход</t>
  </si>
  <si>
    <t>Отрицательный исход</t>
  </si>
  <si>
    <t>Баланс</t>
  </si>
  <si>
    <t>Количество наблюдений</t>
  </si>
  <si>
    <t>Прирост выручки</t>
  </si>
  <si>
    <t>Потери</t>
  </si>
  <si>
    <t>Необходимое количество наблюдений в группе, n</t>
  </si>
  <si>
    <t>(count_control - n)</t>
  </si>
  <si>
    <t xml:space="preserve">Минимальное количество наблюдений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</si>
</sst>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₽_-;\-* #,##0.00\ _₽_-;_-* &quot;-&quot;??\ _₽_-;_-@_-"/>
    <numFmt numFmtId="165" formatCode="0.000000"/>
    <numFmt numFmtId="166" formatCode="_-* #,##0\ _₽_-;\-* #,##0\ _₽_-;_-* &quot;-&quot;??\ _₽_-;_-@_-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D7C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33">
    <xf numFmtId="0" fontId="0" fillId="0" borderId="0" xfId="0"/>
    <xf numFmtId="0" fontId="3" fillId="0" borderId="1" xfId="0" applyFont="1" applyBorder="1"/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4" fontId="0" fillId="0" borderId="0" xfId="1" applyFont="1" applyAlignment="1">
      <alignment horizontal="right"/>
    </xf>
    <xf numFmtId="164" fontId="0" fillId="0" borderId="0" xfId="0" applyNumberFormat="1"/>
    <xf numFmtId="4" fontId="0" fillId="3" borderId="0" xfId="0" applyNumberFormat="1" applyFill="1" applyAlignment="1">
      <alignment horizontal="right"/>
    </xf>
    <xf numFmtId="164" fontId="0" fillId="3" borderId="0" xfId="1" applyFont="1" applyFill="1" applyAlignment="1">
      <alignment horizontal="right"/>
    </xf>
    <xf numFmtId="164" fontId="3" fillId="3" borderId="0" xfId="0" applyNumberFormat="1" applyFont="1" applyFill="1"/>
    <xf numFmtId="164" fontId="3" fillId="5" borderId="0" xfId="0" applyNumberFormat="1" applyFont="1" applyFill="1"/>
    <xf numFmtId="4" fontId="0" fillId="4" borderId="0" xfId="0" applyNumberFormat="1" applyFill="1" applyAlignment="1">
      <alignment horizontal="right"/>
    </xf>
    <xf numFmtId="164" fontId="0" fillId="5" borderId="0" xfId="1" applyFont="1" applyFill="1" applyAlignment="1">
      <alignment horizontal="right"/>
    </xf>
    <xf numFmtId="4" fontId="0" fillId="5" borderId="0" xfId="0" applyNumberFormat="1" applyFill="1" applyAlignment="1">
      <alignment horizontal="right"/>
    </xf>
    <xf numFmtId="1" fontId="0" fillId="0" borderId="0" xfId="0" applyNumberFormat="1"/>
    <xf numFmtId="166" fontId="3" fillId="3" borderId="0" xfId="0" applyNumberFormat="1" applyFont="1" applyFill="1"/>
    <xf numFmtId="166" fontId="3" fillId="5" borderId="0" xfId="0" applyNumberFormat="1" applyFont="1" applyFill="1"/>
    <xf numFmtId="3" fontId="0" fillId="2" borderId="1" xfId="0" applyNumberFormat="1" applyFill="1" applyBorder="1"/>
    <xf numFmtId="1" fontId="0" fillId="4" borderId="0" xfId="0" applyNumberFormat="1" applyFill="1"/>
    <xf numFmtId="0" fontId="0" fillId="4" borderId="0" xfId="0" applyFill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1" fillId="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0" xfId="0" applyFill="1"/>
    <xf numFmtId="1" fontId="3" fillId="4" borderId="0" xfId="0" applyNumberFormat="1" applyFont="1" applyFill="1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colors>
    <mruColors>
      <color rgb="FFCCFFFF"/>
      <color rgb="FFFFD7CD"/>
      <color rgb="FFCC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E25" sqref="E25"/>
    </sheetView>
  </sheetViews>
  <sheetFormatPr defaultRowHeight="14.4" x14ac:dyDescent="0.3"/>
  <cols>
    <col min="1" max="1" width="28.5546875" customWidth="1"/>
    <col min="2" max="2" width="13.109375" bestFit="1" customWidth="1"/>
  </cols>
  <sheetData>
    <row r="1" spans="1:2" x14ac:dyDescent="0.3">
      <c r="A1" s="1" t="s">
        <v>32</v>
      </c>
      <c r="B1" s="2"/>
    </row>
    <row r="2" spans="1:2" x14ac:dyDescent="0.3">
      <c r="A2" s="3" t="s">
        <v>33</v>
      </c>
      <c r="B2" s="3">
        <v>1000</v>
      </c>
    </row>
    <row r="3" spans="1:2" x14ac:dyDescent="0.3">
      <c r="A3" s="3" t="s">
        <v>34</v>
      </c>
      <c r="B3" s="3">
        <v>1000</v>
      </c>
    </row>
    <row r="4" spans="1:2" x14ac:dyDescent="0.3">
      <c r="A4" s="1" t="s">
        <v>35</v>
      </c>
      <c r="B4" s="2"/>
    </row>
    <row r="5" spans="1:2" x14ac:dyDescent="0.3">
      <c r="A5" s="3" t="s">
        <v>36</v>
      </c>
      <c r="B5" s="20">
        <f>Growth!O19</f>
        <v>265804.56958948652</v>
      </c>
    </row>
    <row r="6" spans="1:2" x14ac:dyDescent="0.3">
      <c r="A6" s="3" t="s">
        <v>37</v>
      </c>
      <c r="B6" s="20">
        <f>Decline!O5</f>
        <v>-25613.743891356229</v>
      </c>
    </row>
    <row r="7" spans="1:2" x14ac:dyDescent="0.3">
      <c r="A7" s="27" t="s">
        <v>38</v>
      </c>
      <c r="B7" s="28">
        <f>B5+B6</f>
        <v>240190.8256981303</v>
      </c>
    </row>
    <row r="8" spans="1:2" x14ac:dyDescent="0.3">
      <c r="A8" s="3" t="s">
        <v>39</v>
      </c>
      <c r="B8" s="20">
        <f>'No Change'!Q33</f>
        <v>3800.5684779663316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9"/>
  <sheetViews>
    <sheetView tabSelected="1" topLeftCell="F1" workbookViewId="0">
      <selection activeCell="O2" sqref="O2:O18"/>
    </sheetView>
  </sheetViews>
  <sheetFormatPr defaultRowHeight="14.4" x14ac:dyDescent="0.3"/>
  <cols>
    <col min="1" max="1" width="16.5546875" bestFit="1" customWidth="1"/>
    <col min="2" max="2" width="15.88671875" bestFit="1" customWidth="1"/>
    <col min="3" max="3" width="10.44140625" bestFit="1" customWidth="1"/>
    <col min="4" max="4" width="13.44140625" bestFit="1" customWidth="1"/>
    <col min="5" max="5" width="12" bestFit="1" customWidth="1"/>
    <col min="6" max="6" width="14" bestFit="1" customWidth="1"/>
    <col min="7" max="7" width="17.5546875" bestFit="1" customWidth="1"/>
    <col min="8" max="8" width="20.44140625" bestFit="1" customWidth="1"/>
    <col min="9" max="10" width="12" bestFit="1" customWidth="1"/>
    <col min="11" max="11" width="13.5546875" bestFit="1" customWidth="1"/>
    <col min="12" max="12" width="12" bestFit="1" customWidth="1"/>
    <col min="13" max="13" width="16" customWidth="1"/>
    <col min="14" max="14" width="10.6640625" bestFit="1" customWidth="1"/>
    <col min="15" max="15" width="21.6640625" customWidth="1"/>
  </cols>
  <sheetData>
    <row r="1" spans="1:16" s="26" customFormat="1" x14ac:dyDescent="0.3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9" t="s">
        <v>5</v>
      </c>
      <c r="G1" s="23" t="s">
        <v>6</v>
      </c>
      <c r="H1" s="23" t="s">
        <v>7</v>
      </c>
      <c r="I1" s="29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40</v>
      </c>
    </row>
    <row r="2" spans="1:16" x14ac:dyDescent="0.3">
      <c r="A2" s="7" t="s">
        <v>14</v>
      </c>
      <c r="B2" s="4">
        <v>11</v>
      </c>
      <c r="C2" s="4">
        <v>509</v>
      </c>
      <c r="D2" s="4">
        <v>608</v>
      </c>
      <c r="E2" s="4">
        <v>1117</v>
      </c>
      <c r="F2" s="11">
        <v>2.464804272033188</v>
      </c>
      <c r="G2" s="6">
        <v>2547.2200392927311</v>
      </c>
      <c r="H2" s="6">
        <v>2108.6101973684208</v>
      </c>
      <c r="I2" s="10">
        <v>438.60984192430942</v>
      </c>
      <c r="J2" s="6">
        <v>3023.7021636269142</v>
      </c>
      <c r="K2" s="6">
        <v>2663.038391974123</v>
      </c>
      <c r="L2" s="6">
        <v>2.576955493292318</v>
      </c>
      <c r="M2" s="5">
        <v>1.009511217035171E-2</v>
      </c>
      <c r="N2" s="4" t="s">
        <v>15</v>
      </c>
      <c r="O2" s="9">
        <f>I2*ИТОГ!$B$2*F2/100</f>
        <v>10810.874121308392</v>
      </c>
      <c r="P2" s="9"/>
    </row>
    <row r="3" spans="1:16" x14ac:dyDescent="0.3">
      <c r="A3" s="7" t="s">
        <v>16</v>
      </c>
      <c r="B3" s="4">
        <v>991</v>
      </c>
      <c r="C3" s="4">
        <v>270</v>
      </c>
      <c r="D3" s="4">
        <v>294</v>
      </c>
      <c r="E3" s="4">
        <v>564</v>
      </c>
      <c r="F3" s="11">
        <v>1.2445385939361839</v>
      </c>
      <c r="G3" s="6">
        <v>3249.281481481481</v>
      </c>
      <c r="H3" s="6">
        <v>2452.9863945578231</v>
      </c>
      <c r="I3" s="10">
        <v>796.29508692365835</v>
      </c>
      <c r="J3" s="6">
        <v>4719.5926012697964</v>
      </c>
      <c r="K3" s="6">
        <v>3633.9358583139442</v>
      </c>
      <c r="L3" s="6">
        <v>2.2552583978062271</v>
      </c>
      <c r="M3" s="5">
        <v>2.4501004890271769E-2</v>
      </c>
      <c r="N3" s="4" t="s">
        <v>15</v>
      </c>
      <c r="O3" s="9">
        <f>I3*ИТОГ!$B$2*F3/100</f>
        <v>9910.1996783826107</v>
      </c>
    </row>
    <row r="4" spans="1:16" x14ac:dyDescent="0.3">
      <c r="A4" s="7" t="s">
        <v>17</v>
      </c>
      <c r="B4" s="4">
        <v>1654</v>
      </c>
      <c r="C4" s="4">
        <v>799</v>
      </c>
      <c r="D4" s="4">
        <v>775</v>
      </c>
      <c r="E4" s="4">
        <v>1574</v>
      </c>
      <c r="F4" s="11">
        <v>3.4732335937155221</v>
      </c>
      <c r="G4" s="6">
        <v>3176.4330413016269</v>
      </c>
      <c r="H4" s="6">
        <v>2507.8864516129029</v>
      </c>
      <c r="I4" s="10">
        <v>668.54658968872354</v>
      </c>
      <c r="J4" s="6">
        <v>3208.0517628292828</v>
      </c>
      <c r="K4" s="6">
        <v>2950.5128884516971</v>
      </c>
      <c r="L4" s="6">
        <v>4.2997977681534039</v>
      </c>
      <c r="M4" s="5">
        <v>1.8146600593509569E-5</v>
      </c>
      <c r="N4" s="4" t="s">
        <v>15</v>
      </c>
      <c r="O4" s="9">
        <f>I4*ИТОГ!$B$2*F4/100</f>
        <v>23220.184742708221</v>
      </c>
    </row>
    <row r="5" spans="1:16" x14ac:dyDescent="0.3">
      <c r="A5" s="7" t="s">
        <v>17</v>
      </c>
      <c r="B5" s="4">
        <v>1002</v>
      </c>
      <c r="C5" s="4">
        <v>138</v>
      </c>
      <c r="D5" s="4">
        <v>188</v>
      </c>
      <c r="E5" s="4">
        <v>326</v>
      </c>
      <c r="F5" s="11">
        <v>0.71936096032481578</v>
      </c>
      <c r="G5" s="6">
        <v>4144.855072463768</v>
      </c>
      <c r="H5" s="6">
        <v>1844.7872340425531</v>
      </c>
      <c r="I5" s="10">
        <v>2300.0678384212151</v>
      </c>
      <c r="J5" s="6">
        <v>4069.769784107084</v>
      </c>
      <c r="K5" s="6">
        <v>2436.536120119913</v>
      </c>
      <c r="L5" s="6">
        <v>6.3534483983808014</v>
      </c>
      <c r="M5" s="5">
        <v>7.1299585030233683E-10</v>
      </c>
      <c r="N5" s="4" t="s">
        <v>15</v>
      </c>
      <c r="O5" s="9">
        <f>I5*ИТОГ!$B$2*F5/100</f>
        <v>16545.790090589086</v>
      </c>
    </row>
    <row r="6" spans="1:16" x14ac:dyDescent="0.3">
      <c r="A6" s="7" t="s">
        <v>17</v>
      </c>
      <c r="B6" s="4">
        <v>1287</v>
      </c>
      <c r="C6" s="4">
        <v>370</v>
      </c>
      <c r="D6" s="4">
        <v>357</v>
      </c>
      <c r="E6" s="4">
        <v>727</v>
      </c>
      <c r="F6" s="11">
        <v>1.604219074098592</v>
      </c>
      <c r="G6" s="6">
        <v>2143.4891891891889</v>
      </c>
      <c r="H6" s="6">
        <v>1394.6554621848741</v>
      </c>
      <c r="I6" s="10">
        <v>748.83372700431551</v>
      </c>
      <c r="J6" s="6">
        <v>2441.221897644979</v>
      </c>
      <c r="K6" s="6">
        <v>2338.4617787149841</v>
      </c>
      <c r="L6" s="6">
        <v>4.2210099215845469</v>
      </c>
      <c r="M6" s="5">
        <v>2.7411050206084379E-5</v>
      </c>
      <c r="N6" s="4" t="s">
        <v>15</v>
      </c>
      <c r="O6" s="9">
        <f>I6*ИТОГ!$B$2*F6/100</f>
        <v>12012.933481886608</v>
      </c>
    </row>
    <row r="7" spans="1:16" x14ac:dyDescent="0.3">
      <c r="A7" s="7" t="s">
        <v>17</v>
      </c>
      <c r="B7" s="4">
        <v>2652</v>
      </c>
      <c r="C7" s="4">
        <v>2273</v>
      </c>
      <c r="D7" s="4">
        <v>2370</v>
      </c>
      <c r="E7" s="4">
        <v>4643</v>
      </c>
      <c r="F7" s="11">
        <v>10.24537711284699</v>
      </c>
      <c r="G7" s="6">
        <v>2508.8895732512101</v>
      </c>
      <c r="H7" s="6">
        <v>1972.847679324894</v>
      </c>
      <c r="I7" s="10">
        <v>536.0418939263152</v>
      </c>
      <c r="J7" s="6">
        <v>2846.6364983182448</v>
      </c>
      <c r="K7" s="6">
        <v>2565.8782422552181</v>
      </c>
      <c r="L7" s="6">
        <v>6.7451370750144903</v>
      </c>
      <c r="M7" s="5">
        <v>1.716200952795291E-11</v>
      </c>
      <c r="N7" s="4" t="s">
        <v>15</v>
      </c>
      <c r="O7" s="9">
        <f>I7*ИТОГ!$B$2*F7/100</f>
        <v>54919.513515598243</v>
      </c>
    </row>
    <row r="8" spans="1:16" x14ac:dyDescent="0.3">
      <c r="A8" s="7" t="s">
        <v>18</v>
      </c>
      <c r="B8" s="4">
        <v>34</v>
      </c>
      <c r="C8" s="4">
        <v>225</v>
      </c>
      <c r="D8" s="4">
        <v>253</v>
      </c>
      <c r="E8" s="4">
        <v>478</v>
      </c>
      <c r="F8" s="11">
        <v>1.0547685246480429</v>
      </c>
      <c r="G8" s="6">
        <v>3104.5066666666671</v>
      </c>
      <c r="H8" s="6">
        <v>1752.608695652174</v>
      </c>
      <c r="I8" s="10">
        <v>1351.8979710144929</v>
      </c>
      <c r="J8" s="6">
        <v>2956.8269145922532</v>
      </c>
      <c r="K8" s="6">
        <v>2529.7007981220449</v>
      </c>
      <c r="L8" s="6">
        <v>5.3862649969282721</v>
      </c>
      <c r="M8" s="5">
        <v>1.1327785130388309E-7</v>
      </c>
      <c r="N8" s="4" t="s">
        <v>15</v>
      </c>
      <c r="O8" s="9">
        <f>I8*ИТОГ!$B$2*F8/100</f>
        <v>14259.394283616393</v>
      </c>
    </row>
    <row r="9" spans="1:16" x14ac:dyDescent="0.3">
      <c r="A9" s="7" t="s">
        <v>18</v>
      </c>
      <c r="B9" s="4">
        <v>36</v>
      </c>
      <c r="C9" s="4">
        <v>131</v>
      </c>
      <c r="D9" s="4">
        <v>141</v>
      </c>
      <c r="E9" s="4">
        <v>272</v>
      </c>
      <c r="F9" s="11">
        <v>0.60020300984156405</v>
      </c>
      <c r="G9" s="6">
        <v>1987.3282442748091</v>
      </c>
      <c r="H9" s="6">
        <v>860.41843971631204</v>
      </c>
      <c r="I9" s="10">
        <v>1126.9098045584969</v>
      </c>
      <c r="J9" s="6">
        <v>2718.5026632115769</v>
      </c>
      <c r="K9" s="6">
        <v>1840.8266394516061</v>
      </c>
      <c r="L9" s="6">
        <v>4.0279507279668918</v>
      </c>
      <c r="M9" s="5">
        <v>7.3187580909933793E-5</v>
      </c>
      <c r="N9" s="4" t="s">
        <v>15</v>
      </c>
      <c r="O9" s="9">
        <f>I9*ИТОГ!$B$2*F9/100</f>
        <v>6763.746565159785</v>
      </c>
    </row>
    <row r="10" spans="1:16" x14ac:dyDescent="0.3">
      <c r="A10" s="7" t="s">
        <v>18</v>
      </c>
      <c r="B10" s="4">
        <v>33</v>
      </c>
      <c r="C10" s="4">
        <v>232</v>
      </c>
      <c r="D10" s="4">
        <v>258</v>
      </c>
      <c r="E10" s="4">
        <v>490</v>
      </c>
      <c r="F10" s="11">
        <v>1.081248069199876</v>
      </c>
      <c r="G10" s="6">
        <v>4598.2198275862074</v>
      </c>
      <c r="H10" s="6">
        <v>2311.3875968992252</v>
      </c>
      <c r="I10" s="10">
        <v>2286.8322306869818</v>
      </c>
      <c r="J10" s="6">
        <v>2931.2349256860789</v>
      </c>
      <c r="K10" s="6">
        <v>2371.771295626133</v>
      </c>
      <c r="L10" s="6">
        <v>9.5328379164110402</v>
      </c>
      <c r="M10" s="5">
        <v>7.2225189745714525E-20</v>
      </c>
      <c r="N10" s="4" t="s">
        <v>15</v>
      </c>
      <c r="O10" s="9">
        <f>I10*ИТОГ!$B$2*F10/100</f>
        <v>24726.329340143446</v>
      </c>
    </row>
    <row r="11" spans="1:16" x14ac:dyDescent="0.3">
      <c r="A11" s="7" t="s">
        <v>18</v>
      </c>
      <c r="B11" s="4">
        <v>35</v>
      </c>
      <c r="C11" s="4">
        <v>214</v>
      </c>
      <c r="D11" s="4">
        <v>194</v>
      </c>
      <c r="E11" s="4">
        <v>408</v>
      </c>
      <c r="F11" s="11">
        <v>0.90030451476234619</v>
      </c>
      <c r="G11" s="6">
        <v>2762.2242990654199</v>
      </c>
      <c r="H11" s="6">
        <v>1508.8350515463919</v>
      </c>
      <c r="I11" s="10">
        <v>1253.3892475190289</v>
      </c>
      <c r="J11" s="6">
        <v>2977.0835472163549</v>
      </c>
      <c r="K11" s="6">
        <v>2184.8080940632271</v>
      </c>
      <c r="L11" s="6">
        <v>4.8066661954145689</v>
      </c>
      <c r="M11" s="5">
        <v>2.1646756758588111E-6</v>
      </c>
      <c r="N11" s="4" t="s">
        <v>15</v>
      </c>
      <c r="O11" s="9">
        <f>I11*ИТОГ!$B$2*F11/100</f>
        <v>11284.319982959614</v>
      </c>
    </row>
    <row r="12" spans="1:16" x14ac:dyDescent="0.3">
      <c r="A12" s="7" t="s">
        <v>19</v>
      </c>
      <c r="B12" s="4">
        <v>453</v>
      </c>
      <c r="C12" s="4">
        <v>1066</v>
      </c>
      <c r="D12" s="4">
        <v>1049</v>
      </c>
      <c r="E12" s="4">
        <v>2115</v>
      </c>
      <c r="F12" s="11">
        <v>4.6670197272606906</v>
      </c>
      <c r="G12" s="6">
        <v>2501.9662288930581</v>
      </c>
      <c r="H12" s="6">
        <v>1889.9237368922779</v>
      </c>
      <c r="I12" s="10">
        <v>612.0424920007797</v>
      </c>
      <c r="J12" s="6">
        <v>2993.4425401386729</v>
      </c>
      <c r="K12" s="6">
        <v>2648.6593032825899</v>
      </c>
      <c r="L12" s="6">
        <v>4.976910182958596</v>
      </c>
      <c r="M12" s="5">
        <v>6.9832069012744641E-7</v>
      </c>
      <c r="N12" s="4" t="s">
        <v>15</v>
      </c>
      <c r="O12" s="9">
        <f>I12*ИТОГ!$B$2*F12/100</f>
        <v>28564.143840894321</v>
      </c>
    </row>
    <row r="13" spans="1:16" x14ac:dyDescent="0.3">
      <c r="A13" s="7" t="s">
        <v>19</v>
      </c>
      <c r="B13" s="4">
        <v>891</v>
      </c>
      <c r="C13" s="4">
        <v>159</v>
      </c>
      <c r="D13" s="4">
        <v>167</v>
      </c>
      <c r="E13" s="4">
        <v>326</v>
      </c>
      <c r="F13" s="11">
        <v>0.71936096032481578</v>
      </c>
      <c r="G13" s="6">
        <v>2618.949685534591</v>
      </c>
      <c r="H13" s="6">
        <v>1980.65868263473</v>
      </c>
      <c r="I13" s="10">
        <v>638.29100289986059</v>
      </c>
      <c r="J13" s="6">
        <v>2899.78246412116</v>
      </c>
      <c r="K13" s="6">
        <v>2489.571942139818</v>
      </c>
      <c r="L13" s="6">
        <v>2.135593480676524</v>
      </c>
      <c r="M13" s="5">
        <v>3.3462036844691949E-2</v>
      </c>
      <c r="N13" s="4" t="s">
        <v>15</v>
      </c>
      <c r="O13" s="9">
        <f>I13*ИТОГ!$B$2*F13/100</f>
        <v>4591.6162881273349</v>
      </c>
    </row>
    <row r="14" spans="1:16" x14ac:dyDescent="0.3">
      <c r="A14" s="7" t="s">
        <v>19</v>
      </c>
      <c r="B14" s="4">
        <v>213</v>
      </c>
      <c r="C14" s="4">
        <v>232</v>
      </c>
      <c r="D14" s="4">
        <v>255</v>
      </c>
      <c r="E14" s="4">
        <v>487</v>
      </c>
      <c r="F14" s="11">
        <v>1.074628183061918</v>
      </c>
      <c r="G14" s="6">
        <v>2977.629310344827</v>
      </c>
      <c r="H14" s="6">
        <v>2277.6117647058818</v>
      </c>
      <c r="I14" s="10">
        <v>700.01754563894519</v>
      </c>
      <c r="J14" s="6">
        <v>2905.494362359007</v>
      </c>
      <c r="K14" s="6">
        <v>2710.043413201317</v>
      </c>
      <c r="L14" s="6">
        <v>2.7507518943584151</v>
      </c>
      <c r="M14" s="5">
        <v>6.1682152950104643E-3</v>
      </c>
      <c r="N14" s="4" t="s">
        <v>15</v>
      </c>
      <c r="O14" s="9">
        <f>I14*ИТОГ!$B$2*F14/100</f>
        <v>7522.5858318144292</v>
      </c>
    </row>
    <row r="15" spans="1:16" x14ac:dyDescent="0.3">
      <c r="A15" s="7" t="s">
        <v>19</v>
      </c>
      <c r="B15" s="4">
        <v>801</v>
      </c>
      <c r="C15" s="4">
        <v>225</v>
      </c>
      <c r="D15" s="4">
        <v>212</v>
      </c>
      <c r="E15" s="4">
        <v>437</v>
      </c>
      <c r="F15" s="11">
        <v>0.96429674742927762</v>
      </c>
      <c r="G15" s="6">
        <v>2925.1422222222218</v>
      </c>
      <c r="H15" s="6">
        <v>2352.283018867925</v>
      </c>
      <c r="I15" s="10">
        <v>572.85920335429773</v>
      </c>
      <c r="J15" s="6">
        <v>2774.2920633734352</v>
      </c>
      <c r="K15" s="6">
        <v>2928.2858378165042</v>
      </c>
      <c r="L15" s="6">
        <v>2.0999906224732121</v>
      </c>
      <c r="M15" s="5">
        <v>3.6305006065519063E-2</v>
      </c>
      <c r="N15" s="4" t="s">
        <v>15</v>
      </c>
      <c r="O15" s="9">
        <f>I15*ИТОГ!$B$2*F15/100</f>
        <v>5524.0626652947649</v>
      </c>
    </row>
    <row r="16" spans="1:16" x14ac:dyDescent="0.3">
      <c r="A16" s="7" t="s">
        <v>19</v>
      </c>
      <c r="B16" s="4">
        <v>900</v>
      </c>
      <c r="C16" s="4">
        <v>335</v>
      </c>
      <c r="D16" s="4">
        <v>341</v>
      </c>
      <c r="E16" s="4">
        <v>676</v>
      </c>
      <c r="F16" s="11">
        <v>1.4916810097532991</v>
      </c>
      <c r="G16" s="6">
        <v>2450.991044776119</v>
      </c>
      <c r="H16" s="6">
        <v>1689.7917888563049</v>
      </c>
      <c r="I16" s="10">
        <v>761.1992559198145</v>
      </c>
      <c r="J16" s="6">
        <v>2865.6073558468579</v>
      </c>
      <c r="K16" s="6">
        <v>2492.4726113410602</v>
      </c>
      <c r="L16" s="6">
        <v>3.686913572889702</v>
      </c>
      <c r="M16" s="5">
        <v>2.4525342392273569E-4</v>
      </c>
      <c r="N16" s="4" t="s">
        <v>15</v>
      </c>
      <c r="O16" s="9">
        <f>I16*ИТОГ!$B$2*F16/100</f>
        <v>11354.664746939288</v>
      </c>
    </row>
    <row r="17" spans="1:15" x14ac:dyDescent="0.3">
      <c r="A17" s="7" t="s">
        <v>19</v>
      </c>
      <c r="B17" s="4">
        <v>573</v>
      </c>
      <c r="C17" s="4">
        <v>177</v>
      </c>
      <c r="D17" s="4">
        <v>160</v>
      </c>
      <c r="E17" s="4">
        <v>337</v>
      </c>
      <c r="F17" s="11">
        <v>0.74363387616399657</v>
      </c>
      <c r="G17" s="6">
        <v>2929.0451977401131</v>
      </c>
      <c r="H17" s="6">
        <v>1641.2125000000001</v>
      </c>
      <c r="I17" s="10">
        <v>1287.832697740113</v>
      </c>
      <c r="J17" s="6">
        <v>3201.0981368955968</v>
      </c>
      <c r="K17" s="6">
        <v>2619.0447809502271</v>
      </c>
      <c r="L17" s="6">
        <v>4.0165685114334524</v>
      </c>
      <c r="M17" s="5">
        <v>7.2940741192307104E-5</v>
      </c>
      <c r="N17" s="4" t="s">
        <v>15</v>
      </c>
      <c r="O17" s="9">
        <f>I17*ИТОГ!$B$2*F17/100</f>
        <v>9576.7602087121686</v>
      </c>
    </row>
    <row r="18" spans="1:15" x14ac:dyDescent="0.3">
      <c r="A18" s="7" t="s">
        <v>19</v>
      </c>
      <c r="B18" s="4">
        <v>117</v>
      </c>
      <c r="C18" s="4">
        <v>625</v>
      </c>
      <c r="D18" s="4">
        <v>587</v>
      </c>
      <c r="E18" s="4">
        <v>1212</v>
      </c>
      <c r="F18" s="11">
        <v>2.6744339997352049</v>
      </c>
      <c r="G18" s="6">
        <v>2582.2975999999999</v>
      </c>
      <c r="H18" s="6">
        <v>2050.6916524701869</v>
      </c>
      <c r="I18" s="10">
        <v>531.60594752981251</v>
      </c>
      <c r="J18" s="6">
        <v>2835.004503186402</v>
      </c>
      <c r="K18" s="6">
        <v>2595.7377919626342</v>
      </c>
      <c r="L18" s="6">
        <v>3.3981956005701761</v>
      </c>
      <c r="M18" s="5">
        <v>7.0038166313428352E-4</v>
      </c>
      <c r="N18" s="4" t="s">
        <v>15</v>
      </c>
      <c r="O18" s="9">
        <f>I18*ИТОГ!$B$2*F18/100</f>
        <v>14217.450205351799</v>
      </c>
    </row>
    <row r="19" spans="1:15" x14ac:dyDescent="0.3">
      <c r="E19" s="18">
        <f>SUM(E2:E18)</f>
        <v>16189</v>
      </c>
      <c r="O19" s="12">
        <f>SUM(O2:O18)</f>
        <v>265804.56958948652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"/>
  <sheetViews>
    <sheetView topLeftCell="D1" workbookViewId="0">
      <selection activeCell="M15" sqref="M15"/>
    </sheetView>
  </sheetViews>
  <sheetFormatPr defaultRowHeight="14.4" x14ac:dyDescent="0.3"/>
  <cols>
    <col min="1" max="1" width="10.6640625" bestFit="1" customWidth="1"/>
    <col min="2" max="2" width="15.88671875" bestFit="1" customWidth="1"/>
    <col min="3" max="3" width="10.44140625" bestFit="1" customWidth="1"/>
    <col min="4" max="4" width="13.44140625" bestFit="1" customWidth="1"/>
    <col min="5" max="5" width="10" bestFit="1" customWidth="1"/>
    <col min="6" max="6" width="14" bestFit="1" customWidth="1"/>
    <col min="7" max="7" width="17.5546875" bestFit="1" customWidth="1"/>
    <col min="8" max="8" width="20.44140625" bestFit="1" customWidth="1"/>
    <col min="9" max="9" width="11.5546875" customWidth="1"/>
    <col min="10" max="10" width="10.5546875" bestFit="1" customWidth="1"/>
    <col min="11" max="11" width="13.5546875" bestFit="1" customWidth="1"/>
    <col min="13" max="13" width="12.109375" bestFit="1" customWidth="1"/>
    <col min="14" max="14" width="10.6640625" bestFit="1" customWidth="1"/>
    <col min="15" max="15" width="19.109375" customWidth="1"/>
  </cols>
  <sheetData>
    <row r="1" spans="1:15" s="26" customFormat="1" ht="60.75" customHeight="1" x14ac:dyDescent="0.3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30" t="s">
        <v>5</v>
      </c>
      <c r="G1" s="23" t="s">
        <v>6</v>
      </c>
      <c r="H1" s="23" t="s">
        <v>7</v>
      </c>
      <c r="I1" s="30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41</v>
      </c>
    </row>
    <row r="2" spans="1:15" x14ac:dyDescent="0.3">
      <c r="A2" s="7" t="s">
        <v>20</v>
      </c>
      <c r="B2" s="4">
        <v>66</v>
      </c>
      <c r="C2" s="4">
        <v>657</v>
      </c>
      <c r="D2" s="4">
        <v>703</v>
      </c>
      <c r="E2" s="4">
        <v>1360</v>
      </c>
      <c r="F2" s="15">
        <v>3.0010150492078198</v>
      </c>
      <c r="G2" s="6">
        <v>2288.8706240487058</v>
      </c>
      <c r="H2" s="6">
        <v>2601.7610241820771</v>
      </c>
      <c r="I2" s="16">
        <v>-312.89040013337029</v>
      </c>
      <c r="J2" s="6">
        <v>2682.5676104733539</v>
      </c>
      <c r="K2" s="6">
        <v>2830.193773341512</v>
      </c>
      <c r="L2" s="6">
        <v>-2.0892718943323438</v>
      </c>
      <c r="M2" s="5">
        <v>3.6868999280986539E-2</v>
      </c>
      <c r="N2" s="4" t="s">
        <v>21</v>
      </c>
      <c r="O2" s="9">
        <f>I2*ИТОГ!$B$2*F2/100</f>
        <v>-9389.8879955290067</v>
      </c>
    </row>
    <row r="3" spans="1:15" x14ac:dyDescent="0.3">
      <c r="A3" s="7" t="s">
        <v>22</v>
      </c>
      <c r="B3" s="4">
        <v>1101</v>
      </c>
      <c r="C3" s="4">
        <v>785</v>
      </c>
      <c r="D3" s="4">
        <v>869</v>
      </c>
      <c r="E3" s="4">
        <v>1654</v>
      </c>
      <c r="F3" s="15">
        <v>3.6497638907277459</v>
      </c>
      <c r="G3" s="6">
        <v>2176.0038216560511</v>
      </c>
      <c r="H3" s="6">
        <v>2523.5788262370538</v>
      </c>
      <c r="I3" s="16">
        <v>-347.57500458100321</v>
      </c>
      <c r="J3" s="6">
        <v>2722.6244937401721</v>
      </c>
      <c r="K3" s="6">
        <v>2960.3523376384169</v>
      </c>
      <c r="L3" s="6">
        <v>-2.476736308530425</v>
      </c>
      <c r="M3" s="5">
        <v>1.33584476189182E-2</v>
      </c>
      <c r="N3" s="4" t="s">
        <v>21</v>
      </c>
      <c r="O3" s="9">
        <f>I3*ИТОГ!$B$2*F3/100</f>
        <v>-12685.667010392763</v>
      </c>
    </row>
    <row r="4" spans="1:15" x14ac:dyDescent="0.3">
      <c r="A4" s="7" t="s">
        <v>17</v>
      </c>
      <c r="B4" s="4">
        <v>9931</v>
      </c>
      <c r="C4" s="4">
        <v>153</v>
      </c>
      <c r="D4" s="4">
        <v>137</v>
      </c>
      <c r="E4" s="4">
        <v>290</v>
      </c>
      <c r="F4" s="15">
        <v>0.6399223266693147</v>
      </c>
      <c r="G4" s="6">
        <v>1415.7843137254899</v>
      </c>
      <c r="H4" s="6">
        <v>1968.693430656934</v>
      </c>
      <c r="I4" s="16">
        <v>-552.90911693144403</v>
      </c>
      <c r="J4" s="6">
        <v>2038.1642473623181</v>
      </c>
      <c r="K4" s="6">
        <v>2403.3978568404682</v>
      </c>
      <c r="L4" s="6">
        <v>-2.1191969117156</v>
      </c>
      <c r="M4" s="5">
        <v>3.4929468998951822E-2</v>
      </c>
      <c r="N4" s="4" t="s">
        <v>21</v>
      </c>
      <c r="O4" s="9">
        <f>I4*ИТОГ!$B$2*F4/100</f>
        <v>-3538.1888854344584</v>
      </c>
    </row>
    <row r="5" spans="1:15" x14ac:dyDescent="0.3">
      <c r="E5" s="19">
        <f>SUM(E2:E4)</f>
        <v>3304</v>
      </c>
      <c r="O5" s="13">
        <f>SUM(O2:O4)</f>
        <v>-25613.743891356229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3"/>
  <sheetViews>
    <sheetView workbookViewId="0">
      <selection activeCell="A9" sqref="A9"/>
    </sheetView>
  </sheetViews>
  <sheetFormatPr defaultRowHeight="14.4" x14ac:dyDescent="0.3"/>
  <cols>
    <col min="1" max="1" width="16.5546875" bestFit="1" customWidth="1"/>
    <col min="2" max="2" width="15.88671875" bestFit="1" customWidth="1"/>
    <col min="3" max="3" width="10.44140625" bestFit="1" customWidth="1"/>
    <col min="4" max="4" width="13.44140625" bestFit="1" customWidth="1"/>
    <col min="5" max="5" width="9.109375" bestFit="1" customWidth="1"/>
    <col min="6" max="6" width="14" bestFit="1" customWidth="1"/>
    <col min="7" max="7" width="17.5546875" bestFit="1" customWidth="1"/>
    <col min="8" max="8" width="20.44140625" bestFit="1" customWidth="1"/>
    <col min="9" max="9" width="10" customWidth="1"/>
    <col min="10" max="10" width="10.5546875" bestFit="1" customWidth="1"/>
    <col min="11" max="11" width="13.5546875" bestFit="1" customWidth="1"/>
    <col min="13" max="13" width="11.6640625" customWidth="1"/>
    <col min="14" max="14" width="11.33203125" customWidth="1"/>
    <col min="15" max="15" width="24.109375" customWidth="1"/>
    <col min="16" max="16" width="17.44140625" customWidth="1"/>
    <col min="17" max="17" width="19.109375" customWidth="1"/>
  </cols>
  <sheetData>
    <row r="1" spans="1:17" s="26" customFormat="1" ht="52.5" customHeight="1" x14ac:dyDescent="0.3">
      <c r="A1" s="23" t="s">
        <v>0</v>
      </c>
      <c r="B1" s="23" t="s">
        <v>1</v>
      </c>
      <c r="C1" s="24" t="s">
        <v>2</v>
      </c>
      <c r="D1" s="24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4" t="s">
        <v>9</v>
      </c>
      <c r="K1" s="24" t="s">
        <v>10</v>
      </c>
      <c r="L1" s="23" t="s">
        <v>11</v>
      </c>
      <c r="M1" s="23" t="s">
        <v>12</v>
      </c>
      <c r="N1" s="23" t="s">
        <v>13</v>
      </c>
      <c r="O1" s="25" t="s">
        <v>42</v>
      </c>
      <c r="P1" s="23" t="s">
        <v>43</v>
      </c>
      <c r="Q1" s="25" t="s">
        <v>44</v>
      </c>
    </row>
    <row r="2" spans="1:17" x14ac:dyDescent="0.3">
      <c r="A2" s="7" t="s">
        <v>23</v>
      </c>
      <c r="B2" s="4">
        <v>2</v>
      </c>
      <c r="C2" s="22">
        <v>78</v>
      </c>
      <c r="D2" s="22">
        <v>71</v>
      </c>
      <c r="E2" s="4">
        <v>149</v>
      </c>
      <c r="F2" s="8">
        <v>0.32878767818526861</v>
      </c>
      <c r="G2" s="6">
        <v>579.33333333333337</v>
      </c>
      <c r="H2" s="6">
        <v>483.45070422535213</v>
      </c>
      <c r="I2" s="6">
        <v>95.882629107981245</v>
      </c>
      <c r="J2" s="14">
        <v>1860.7624304329711</v>
      </c>
      <c r="K2" s="14">
        <v>1654.923181546782</v>
      </c>
      <c r="L2" s="6">
        <v>0.33105243476452068</v>
      </c>
      <c r="M2" s="5">
        <v>0.7410763125801646</v>
      </c>
      <c r="N2" s="4" t="s">
        <v>24</v>
      </c>
      <c r="O2" s="21">
        <f>(J2^2+K2^2)*(1.96+0.84)^2/ИТОГ!$B$3^2</f>
        <v>48.61746726516084</v>
      </c>
      <c r="P2" s="17">
        <f>D2-O2</f>
        <v>22.38253273483916</v>
      </c>
      <c r="Q2" s="21">
        <f>16* MIN(J2,K2)^2 / ИТОГ!$B$3^2</f>
        <v>43.820331789134769</v>
      </c>
    </row>
    <row r="3" spans="1:17" x14ac:dyDescent="0.3">
      <c r="A3" s="7" t="s">
        <v>16</v>
      </c>
      <c r="B3" s="4">
        <v>439</v>
      </c>
      <c r="C3" s="22">
        <v>355</v>
      </c>
      <c r="D3" s="22">
        <v>351</v>
      </c>
      <c r="E3" s="4">
        <v>706</v>
      </c>
      <c r="F3" s="8">
        <v>1.557879871132883</v>
      </c>
      <c r="G3" s="6">
        <v>2481.9605633802821</v>
      </c>
      <c r="H3" s="6">
        <v>2400.635327635327</v>
      </c>
      <c r="I3" s="6">
        <v>81.325235744954171</v>
      </c>
      <c r="J3" s="14">
        <v>4040.4410068102538</v>
      </c>
      <c r="K3" s="14">
        <v>3722.1170724360341</v>
      </c>
      <c r="L3" s="6">
        <v>0.27806735037805058</v>
      </c>
      <c r="M3" s="5">
        <v>0.78104230354142801</v>
      </c>
      <c r="N3" s="4" t="s">
        <v>24</v>
      </c>
      <c r="O3" s="21">
        <f>(J3^2+K3^2)*(1.96+0.84)^2/ИТОГ!$B$3^2</f>
        <v>236.6058611985998</v>
      </c>
      <c r="P3" s="17">
        <f t="shared" ref="P3:P32" si="0">D3-O3</f>
        <v>114.3941388014002</v>
      </c>
      <c r="Q3" s="21">
        <f>16* MIN(J3,K3)^2 / ИТОГ!$B$3^2</f>
        <v>221.66648801471669</v>
      </c>
    </row>
    <row r="4" spans="1:17" x14ac:dyDescent="0.3">
      <c r="A4" s="7" t="s">
        <v>16</v>
      </c>
      <c r="B4" s="4">
        <v>699</v>
      </c>
      <c r="C4" s="22">
        <v>482</v>
      </c>
      <c r="D4" s="22">
        <v>494</v>
      </c>
      <c r="E4" s="4">
        <v>976</v>
      </c>
      <c r="F4" s="8">
        <v>2.153669623549141</v>
      </c>
      <c r="G4" s="6">
        <v>2422.286307053942</v>
      </c>
      <c r="H4" s="6">
        <v>2574.3522267206481</v>
      </c>
      <c r="I4" s="6">
        <v>-152.0659196667057</v>
      </c>
      <c r="J4" s="14">
        <v>3906.8178974938301</v>
      </c>
      <c r="K4" s="14">
        <v>4082.8513558716591</v>
      </c>
      <c r="L4" s="6">
        <v>-0.59425382588472897</v>
      </c>
      <c r="M4" s="5">
        <v>0.55248035588145283</v>
      </c>
      <c r="N4" s="4" t="s">
        <v>24</v>
      </c>
      <c r="O4" s="21">
        <f>(J4^2+K4^2)*(1.96+0.84)^2/ИТОГ!$B$3^2</f>
        <v>250.3539460220378</v>
      </c>
      <c r="P4" s="17">
        <f t="shared" si="0"/>
        <v>243.6460539779622</v>
      </c>
      <c r="Q4" s="21">
        <f>16* MIN(J4,K4)^2 / ИТОГ!$B$3^2</f>
        <v>244.21161734684978</v>
      </c>
    </row>
    <row r="5" spans="1:17" x14ac:dyDescent="0.3">
      <c r="A5" s="7" t="s">
        <v>16</v>
      </c>
      <c r="B5" s="4">
        <v>477</v>
      </c>
      <c r="C5" s="22">
        <v>382</v>
      </c>
      <c r="D5" s="22">
        <v>386</v>
      </c>
      <c r="E5" s="4">
        <v>768</v>
      </c>
      <c r="F5" s="8">
        <v>1.6946908513173571</v>
      </c>
      <c r="G5" s="6">
        <v>2259.623036649215</v>
      </c>
      <c r="H5" s="6">
        <v>2496.987046632124</v>
      </c>
      <c r="I5" s="6">
        <v>-237.36400998290989</v>
      </c>
      <c r="J5" s="14">
        <v>3482.8460937348032</v>
      </c>
      <c r="K5" s="14">
        <v>3881.9947185225428</v>
      </c>
      <c r="L5" s="6">
        <v>-0.89159336291986235</v>
      </c>
      <c r="M5" s="5">
        <v>0.37289090359186572</v>
      </c>
      <c r="N5" s="4" t="s">
        <v>24</v>
      </c>
      <c r="O5" s="21">
        <f>(J5^2+K5^2)*(1.96+0.84)^2/ИТОГ!$B$3^2</f>
        <v>213.24878327308059</v>
      </c>
      <c r="P5" s="17">
        <f t="shared" si="0"/>
        <v>172.75121672691941</v>
      </c>
      <c r="Q5" s="21">
        <f>16* MIN(J5,K5)^2 / ИТОГ!$B$3^2</f>
        <v>194.08347060230042</v>
      </c>
    </row>
    <row r="6" spans="1:17" x14ac:dyDescent="0.3">
      <c r="A6" s="7" t="s">
        <v>16</v>
      </c>
      <c r="B6" s="4">
        <v>544</v>
      </c>
      <c r="C6" s="22">
        <v>377</v>
      </c>
      <c r="D6" s="22">
        <v>416</v>
      </c>
      <c r="E6" s="4">
        <v>793</v>
      </c>
      <c r="F6" s="8">
        <v>1.749856569133678</v>
      </c>
      <c r="G6" s="6">
        <v>2621.4270557029181</v>
      </c>
      <c r="H6" s="6">
        <v>2635.5480769230771</v>
      </c>
      <c r="I6" s="6">
        <v>-14.12102122015949</v>
      </c>
      <c r="J6" s="14">
        <v>3714.8947510376788</v>
      </c>
      <c r="K6" s="14">
        <v>4639.8207461839838</v>
      </c>
      <c r="L6" s="6">
        <v>-4.6997059757738199E-2</v>
      </c>
      <c r="M6" s="5">
        <v>0.96252743362660054</v>
      </c>
      <c r="N6" s="4" t="s">
        <v>24</v>
      </c>
      <c r="O6" s="21">
        <f>(J6^2+K6^2)*(1.96+0.84)^2/ИТОГ!$B$3^2</f>
        <v>276.9744958131717</v>
      </c>
      <c r="P6" s="17">
        <f t="shared" si="0"/>
        <v>139.0255041868283</v>
      </c>
      <c r="Q6" s="21">
        <f>16* MIN(J6,K6)^2 / ИТОГ!$B$3^2</f>
        <v>220.80708818059676</v>
      </c>
    </row>
    <row r="7" spans="1:17" x14ac:dyDescent="0.3">
      <c r="A7" s="7" t="s">
        <v>16</v>
      </c>
      <c r="B7" s="4">
        <v>516</v>
      </c>
      <c r="C7" s="22">
        <v>634</v>
      </c>
      <c r="D7" s="22">
        <v>636</v>
      </c>
      <c r="E7" s="4">
        <v>1270</v>
      </c>
      <c r="F7" s="8">
        <v>2.802418465069068</v>
      </c>
      <c r="G7" s="6">
        <v>3245.2003154574131</v>
      </c>
      <c r="H7" s="6">
        <v>2880.48427672956</v>
      </c>
      <c r="I7" s="6">
        <v>364.71603872785317</v>
      </c>
      <c r="J7" s="14">
        <v>4543.1692617437084</v>
      </c>
      <c r="K7" s="14">
        <v>3819.2928134705862</v>
      </c>
      <c r="L7" s="6">
        <v>1.5486734367114749</v>
      </c>
      <c r="M7" s="5">
        <v>0.12170977776688099</v>
      </c>
      <c r="N7" s="4" t="s">
        <v>24</v>
      </c>
      <c r="O7" s="21">
        <f>(J7^2+K7^2)*(1.96+0.84)^2/ИТОГ!$B$3^2</f>
        <v>276.18269476130655</v>
      </c>
      <c r="P7" s="17">
        <f t="shared" si="0"/>
        <v>359.81730523869345</v>
      </c>
      <c r="Q7" s="21">
        <f>16* MIN(J7,K7)^2 / ИТОГ!$B$3^2</f>
        <v>233.39196152044906</v>
      </c>
    </row>
    <row r="8" spans="1:17" x14ac:dyDescent="0.3">
      <c r="A8" s="7" t="s">
        <v>22</v>
      </c>
      <c r="B8" s="4">
        <v>1989</v>
      </c>
      <c r="C8" s="22">
        <v>239</v>
      </c>
      <c r="D8" s="22">
        <v>270</v>
      </c>
      <c r="E8" s="4">
        <v>509</v>
      </c>
      <c r="F8" s="8">
        <v>1.12317401474028</v>
      </c>
      <c r="G8" s="6">
        <v>4407.3849372384939</v>
      </c>
      <c r="H8" s="6">
        <v>4163.9592592592589</v>
      </c>
      <c r="I8" s="6">
        <v>243.42567797923491</v>
      </c>
      <c r="J8" s="14">
        <v>2737.9007251199769</v>
      </c>
      <c r="K8" s="14">
        <v>2492.0962933115161</v>
      </c>
      <c r="L8" s="6">
        <v>1.0499935308392909</v>
      </c>
      <c r="M8" s="5">
        <v>0.29422131648059052</v>
      </c>
      <c r="N8" s="4" t="s">
        <v>24</v>
      </c>
      <c r="O8" s="21">
        <f>(J8^2+K8^2)*(1.96+0.84)^2/ИТОГ!$B$3^2</f>
        <v>107.460091435476</v>
      </c>
      <c r="P8" s="17">
        <f t="shared" si="0"/>
        <v>162.53990856452401</v>
      </c>
      <c r="Q8" s="21">
        <f>16* MIN(J8,K8)^2 / ИТОГ!$B$3^2</f>
        <v>99.368702962191975</v>
      </c>
    </row>
    <row r="9" spans="1:17" x14ac:dyDescent="0.3">
      <c r="A9" s="7" t="s">
        <v>25</v>
      </c>
      <c r="B9" s="4">
        <v>202</v>
      </c>
      <c r="C9" s="22">
        <v>551</v>
      </c>
      <c r="D9" s="22">
        <v>565</v>
      </c>
      <c r="E9" s="4">
        <v>1116</v>
      </c>
      <c r="F9" s="8">
        <v>2.4625976433205352</v>
      </c>
      <c r="G9" s="6">
        <v>2927.341197822142</v>
      </c>
      <c r="H9" s="6">
        <v>2730.378761061947</v>
      </c>
      <c r="I9" s="6">
        <v>196.96243676019461</v>
      </c>
      <c r="J9" s="14">
        <v>2956.686241494881</v>
      </c>
      <c r="K9" s="14">
        <v>2737.8857851630301</v>
      </c>
      <c r="L9" s="6">
        <v>1.155072918440385</v>
      </c>
      <c r="M9" s="5">
        <v>0.24830826390447139</v>
      </c>
      <c r="N9" s="4" t="s">
        <v>24</v>
      </c>
      <c r="O9" s="21">
        <f>(J9^2+K9^2)*(1.96+0.84)^2/ИТОГ!$B$3^2</f>
        <v>127.30601488942438</v>
      </c>
      <c r="P9" s="17">
        <f t="shared" si="0"/>
        <v>437.69398511057562</v>
      </c>
      <c r="Q9" s="21">
        <f>16* MIN(J9,K9)^2 / ИТОГ!$B$3^2</f>
        <v>119.9362971615645</v>
      </c>
    </row>
    <row r="10" spans="1:17" x14ac:dyDescent="0.3">
      <c r="A10" s="7" t="s">
        <v>25</v>
      </c>
      <c r="B10" s="4">
        <v>212</v>
      </c>
      <c r="C10" s="22">
        <v>593</v>
      </c>
      <c r="D10" s="22">
        <v>575</v>
      </c>
      <c r="E10" s="4">
        <v>1168</v>
      </c>
      <c r="F10" s="8">
        <v>2.5773423363784809</v>
      </c>
      <c r="G10" s="6">
        <v>2144.317032040472</v>
      </c>
      <c r="H10" s="6">
        <v>2222.052173913044</v>
      </c>
      <c r="I10" s="6">
        <v>-77.735141872571603</v>
      </c>
      <c r="J10" s="14">
        <v>2708.5887239801191</v>
      </c>
      <c r="K10" s="14">
        <v>2785.1162501572312</v>
      </c>
      <c r="L10" s="6">
        <v>-0.48358538550993968</v>
      </c>
      <c r="M10" s="5">
        <v>0.62877094764054164</v>
      </c>
      <c r="N10" s="4" t="s">
        <v>24</v>
      </c>
      <c r="O10" s="21">
        <f>(J10^2+K10^2)*(1.96+0.84)^2/ИТОГ!$B$3^2</f>
        <v>118.33167115608705</v>
      </c>
      <c r="P10" s="17">
        <f t="shared" si="0"/>
        <v>456.66832884391295</v>
      </c>
      <c r="Q10" s="21">
        <f>16* MIN(J10,K10)^2 / ИТОГ!$B$3^2</f>
        <v>117.383246010756</v>
      </c>
    </row>
    <row r="11" spans="1:17" x14ac:dyDescent="0.3">
      <c r="A11" s="7" t="s">
        <v>25</v>
      </c>
      <c r="B11" s="4">
        <v>277</v>
      </c>
      <c r="C11" s="22">
        <v>708</v>
      </c>
      <c r="D11" s="22">
        <v>709</v>
      </c>
      <c r="E11" s="4">
        <v>1417</v>
      </c>
      <c r="F11" s="8">
        <v>3.126792885829031</v>
      </c>
      <c r="G11" s="6">
        <v>2285.75</v>
      </c>
      <c r="H11" s="6">
        <v>2431.3653032440061</v>
      </c>
      <c r="I11" s="6">
        <v>-145.61530324400559</v>
      </c>
      <c r="J11" s="14">
        <v>2712.677878262808</v>
      </c>
      <c r="K11" s="14">
        <v>2868.5875686413842</v>
      </c>
      <c r="L11" s="6">
        <v>-0.98170546685316118</v>
      </c>
      <c r="M11" s="5">
        <v>0.32641278977933119</v>
      </c>
      <c r="N11" s="4" t="s">
        <v>24</v>
      </c>
      <c r="O11" s="21">
        <f>(J11^2+K11^2)*(1.96+0.84)^2/ИТОГ!$B$3^2</f>
        <v>122.20534073581352</v>
      </c>
      <c r="P11" s="17">
        <f t="shared" si="0"/>
        <v>586.79465926418652</v>
      </c>
      <c r="Q11" s="21">
        <f>16* MIN(J11,K11)^2 / ИТОГ!$B$3^2</f>
        <v>117.73794033946257</v>
      </c>
    </row>
    <row r="12" spans="1:17" x14ac:dyDescent="0.3">
      <c r="A12" s="7" t="s">
        <v>25</v>
      </c>
      <c r="B12" s="4">
        <v>278</v>
      </c>
      <c r="C12" s="22">
        <v>535</v>
      </c>
      <c r="D12" s="22">
        <v>489</v>
      </c>
      <c r="E12" s="4">
        <v>1024</v>
      </c>
      <c r="F12" s="8">
        <v>2.259587801756477</v>
      </c>
      <c r="G12" s="6">
        <v>2499.3457943925232</v>
      </c>
      <c r="H12" s="6">
        <v>2185.21472392638</v>
      </c>
      <c r="I12" s="6">
        <v>314.13107046614277</v>
      </c>
      <c r="J12" s="14">
        <v>2915.9953289536438</v>
      </c>
      <c r="K12" s="14">
        <v>2574.9155972376111</v>
      </c>
      <c r="L12" s="6">
        <v>1.8202681201948649</v>
      </c>
      <c r="M12" s="5">
        <v>6.9010560745835017E-2</v>
      </c>
      <c r="N12" s="4" t="s">
        <v>24</v>
      </c>
      <c r="O12" s="21">
        <f>(J12^2+K12^2)*(1.96+0.84)^2/ИТОГ!$B$3^2</f>
        <v>118.6444376763956</v>
      </c>
      <c r="P12" s="17">
        <f t="shared" si="0"/>
        <v>370.35556232360443</v>
      </c>
      <c r="Q12" s="21">
        <f>16* MIN(J12,K12)^2 / ИТОГ!$B$3^2</f>
        <v>106.08304532636038</v>
      </c>
    </row>
    <row r="13" spans="1:17" x14ac:dyDescent="0.3">
      <c r="A13" s="7" t="s">
        <v>25</v>
      </c>
      <c r="B13" s="4">
        <v>444</v>
      </c>
      <c r="C13" s="22">
        <v>650</v>
      </c>
      <c r="D13" s="22">
        <v>562</v>
      </c>
      <c r="E13" s="4">
        <v>1212</v>
      </c>
      <c r="F13" s="8">
        <v>2.6744339997352049</v>
      </c>
      <c r="G13" s="6">
        <v>2404.106153846154</v>
      </c>
      <c r="H13" s="6">
        <v>2545.7348754448399</v>
      </c>
      <c r="I13" s="6">
        <v>-141.62872159868579</v>
      </c>
      <c r="J13" s="14">
        <v>2810.8284873546108</v>
      </c>
      <c r="K13" s="14">
        <v>2797.138763933518</v>
      </c>
      <c r="L13" s="6">
        <v>-0.87674037193140575</v>
      </c>
      <c r="M13" s="5">
        <v>0.38080170010284242</v>
      </c>
      <c r="N13" s="4" t="s">
        <v>24</v>
      </c>
      <c r="O13" s="21">
        <f>(J13^2+K13^2)*(1.96+0.84)^2/ИТОГ!$B$3^2</f>
        <v>123.28197767218609</v>
      </c>
      <c r="P13" s="17">
        <f t="shared" si="0"/>
        <v>438.71802232781391</v>
      </c>
      <c r="Q13" s="21">
        <f>16* MIN(J13,K13)^2 / ИТОГ!$B$3^2</f>
        <v>125.18376423519246</v>
      </c>
    </row>
    <row r="14" spans="1:17" x14ac:dyDescent="0.3">
      <c r="A14" s="7" t="s">
        <v>17</v>
      </c>
      <c r="B14" s="4">
        <v>8543</v>
      </c>
      <c r="C14" s="22">
        <v>148</v>
      </c>
      <c r="D14" s="22">
        <v>140</v>
      </c>
      <c r="E14" s="4">
        <v>288</v>
      </c>
      <c r="F14" s="8">
        <v>0.63550906924400907</v>
      </c>
      <c r="G14" s="6">
        <v>1859.7770270270271</v>
      </c>
      <c r="H14" s="6">
        <v>1804.25</v>
      </c>
      <c r="I14" s="6">
        <v>55.527027027027088</v>
      </c>
      <c r="J14" s="14">
        <v>2568.9804293811749</v>
      </c>
      <c r="K14" s="14">
        <v>3015.7266304677269</v>
      </c>
      <c r="L14" s="6">
        <v>0.16850596566670989</v>
      </c>
      <c r="M14" s="5">
        <v>0.86630435550570684</v>
      </c>
      <c r="N14" s="4" t="s">
        <v>24</v>
      </c>
      <c r="O14" s="21">
        <f>(J14^2+K14^2)*(1.96+0.84)^2/ИТОГ!$B$3^2</f>
        <v>123.04305764104481</v>
      </c>
      <c r="P14" s="17">
        <f t="shared" si="0"/>
        <v>16.956942358955189</v>
      </c>
      <c r="Q14" s="21">
        <f>16* MIN(J14,K14)^2 / ИТОГ!$B$3^2</f>
        <v>105.59456714469577</v>
      </c>
    </row>
    <row r="15" spans="1:17" x14ac:dyDescent="0.3">
      <c r="A15" s="7" t="s">
        <v>17</v>
      </c>
      <c r="B15" s="4">
        <v>3987</v>
      </c>
      <c r="C15" s="22">
        <v>801</v>
      </c>
      <c r="D15" s="22">
        <v>785</v>
      </c>
      <c r="E15" s="4">
        <v>1586</v>
      </c>
      <c r="F15" s="8">
        <v>3.4997131382673552</v>
      </c>
      <c r="G15" s="6">
        <v>1602.995006242197</v>
      </c>
      <c r="H15" s="6">
        <v>1639.857324840764</v>
      </c>
      <c r="I15" s="6">
        <v>-36.862318598567072</v>
      </c>
      <c r="J15" s="14">
        <v>2518.8292052012962</v>
      </c>
      <c r="K15" s="14">
        <v>2686.3174166097829</v>
      </c>
      <c r="L15" s="6">
        <v>-0.28196520087867383</v>
      </c>
      <c r="M15" s="5">
        <v>0.77800702736032634</v>
      </c>
      <c r="N15" s="4" t="s">
        <v>24</v>
      </c>
      <c r="O15" s="21">
        <f>(J15^2+K15^2)*(1.96+0.84)^2/ИТОГ!$B$3^2</f>
        <v>106.31668632960742</v>
      </c>
      <c r="P15" s="17">
        <f t="shared" si="0"/>
        <v>678.68331367039264</v>
      </c>
      <c r="Q15" s="21">
        <f>16* MIN(J15,K15)^2 / ИТОГ!$B$3^2</f>
        <v>101.51200903959989</v>
      </c>
    </row>
    <row r="16" spans="1:17" x14ac:dyDescent="0.3">
      <c r="A16" s="7" t="s">
        <v>17</v>
      </c>
      <c r="B16" s="4">
        <v>9121</v>
      </c>
      <c r="C16" s="22">
        <v>131</v>
      </c>
      <c r="D16" s="22">
        <v>108</v>
      </c>
      <c r="E16" s="4">
        <v>239</v>
      </c>
      <c r="F16" s="8">
        <v>0.52738426232402136</v>
      </c>
      <c r="G16" s="6">
        <v>1976.854961832061</v>
      </c>
      <c r="H16" s="6">
        <v>1856.9444444444439</v>
      </c>
      <c r="I16" s="6">
        <v>119.91051738761669</v>
      </c>
      <c r="J16" s="14">
        <v>2605.7974274007302</v>
      </c>
      <c r="K16" s="14">
        <v>2442.3261657052421</v>
      </c>
      <c r="L16" s="6">
        <v>0.36418256697602858</v>
      </c>
      <c r="M16" s="5">
        <v>0.71604638423203104</v>
      </c>
      <c r="N16" s="4" t="s">
        <v>24</v>
      </c>
      <c r="O16" s="21">
        <f>(J16^2+K16^2)*(1.96+0.84)^2/ИТОГ!$B$3^2</f>
        <v>100.00027668551999</v>
      </c>
      <c r="P16" s="17">
        <f t="shared" si="0"/>
        <v>7.9997233144800077</v>
      </c>
      <c r="Q16" s="21">
        <f>16* MIN(J16,K16)^2 / ИТОГ!$B$3^2</f>
        <v>95.43931359501552</v>
      </c>
    </row>
    <row r="17" spans="1:17" x14ac:dyDescent="0.3">
      <c r="A17" s="7" t="s">
        <v>17</v>
      </c>
      <c r="B17" s="4">
        <v>3786</v>
      </c>
      <c r="C17" s="22">
        <v>237</v>
      </c>
      <c r="D17" s="22">
        <v>278</v>
      </c>
      <c r="E17" s="4">
        <v>515</v>
      </c>
      <c r="F17" s="8">
        <v>1.136413787016197</v>
      </c>
      <c r="G17" s="6">
        <v>2636.658227848101</v>
      </c>
      <c r="H17" s="6">
        <v>2688.2302158273378</v>
      </c>
      <c r="I17" s="6">
        <v>-51.571987979236837</v>
      </c>
      <c r="J17" s="14">
        <v>2713.063676741257</v>
      </c>
      <c r="K17" s="14">
        <v>3292.9376410463851</v>
      </c>
      <c r="L17" s="6">
        <v>-0.1918852001092001</v>
      </c>
      <c r="M17" s="5">
        <v>0.84790805885187892</v>
      </c>
      <c r="N17" s="4" t="s">
        <v>24</v>
      </c>
      <c r="O17" s="21">
        <f>(J17^2+K17^2)*(1.96+0.84)^2/ИТОГ!$B$3^2</f>
        <v>142.72055812348367</v>
      </c>
      <c r="P17" s="17">
        <f t="shared" si="0"/>
        <v>135.27944187651633</v>
      </c>
      <c r="Q17" s="21">
        <f>16* MIN(J17,K17)^2 / ИТОГ!$B$3^2</f>
        <v>117.7714322248446</v>
      </c>
    </row>
    <row r="18" spans="1:17" x14ac:dyDescent="0.3">
      <c r="A18" s="7" t="s">
        <v>17</v>
      </c>
      <c r="B18" s="4">
        <v>2212</v>
      </c>
      <c r="C18" s="22">
        <v>422</v>
      </c>
      <c r="D18" s="22">
        <v>397</v>
      </c>
      <c r="E18" s="4">
        <v>819</v>
      </c>
      <c r="F18" s="8">
        <v>1.80722891566265</v>
      </c>
      <c r="G18" s="6">
        <v>2827.2369668246452</v>
      </c>
      <c r="H18" s="6">
        <v>2739.3627204030231</v>
      </c>
      <c r="I18" s="6">
        <v>87.874246421622047</v>
      </c>
      <c r="J18" s="14">
        <v>3197.5429641908459</v>
      </c>
      <c r="K18" s="14">
        <v>2446.9750361819461</v>
      </c>
      <c r="L18" s="6">
        <v>0.43968207853877772</v>
      </c>
      <c r="M18" s="5">
        <v>0.66028366208891054</v>
      </c>
      <c r="N18" s="4" t="s">
        <v>24</v>
      </c>
      <c r="O18" s="21">
        <f>(J18^2+K18^2)*(1.96+0.84)^2/ИТОГ!$B$3^2</f>
        <v>127.10182783066509</v>
      </c>
      <c r="P18" s="17">
        <f t="shared" si="0"/>
        <v>269.89817216933488</v>
      </c>
      <c r="Q18" s="21">
        <f>16* MIN(J18,K18)^2 / ИТОГ!$B$3^2</f>
        <v>95.802989243162187</v>
      </c>
    </row>
    <row r="19" spans="1:17" x14ac:dyDescent="0.3">
      <c r="A19" s="7" t="s">
        <v>17</v>
      </c>
      <c r="B19" s="4">
        <v>6543</v>
      </c>
      <c r="C19" s="22">
        <v>662</v>
      </c>
      <c r="D19" s="22">
        <v>689</v>
      </c>
      <c r="E19" s="4">
        <v>1351</v>
      </c>
      <c r="F19" s="8">
        <v>2.981155390793945</v>
      </c>
      <c r="G19" s="6">
        <v>1715.486404833837</v>
      </c>
      <c r="H19" s="6">
        <v>1528.3251088534109</v>
      </c>
      <c r="I19" s="6">
        <v>187.1612959804261</v>
      </c>
      <c r="J19" s="14">
        <v>2457.368732057007</v>
      </c>
      <c r="K19" s="14">
        <v>2338.5220633259491</v>
      </c>
      <c r="L19" s="6">
        <v>1.434398279645726</v>
      </c>
      <c r="M19" s="5">
        <v>0.15169040462954611</v>
      </c>
      <c r="N19" s="4" t="s">
        <v>24</v>
      </c>
      <c r="O19" s="21">
        <f>(J19^2+K19^2)*(1.96+0.84)^2/ИТОГ!$B$3^2</f>
        <v>90.217596763477133</v>
      </c>
      <c r="P19" s="17">
        <f t="shared" si="0"/>
        <v>598.7824032365229</v>
      </c>
      <c r="Q19" s="21">
        <f>16* MIN(J19,K19)^2 / ИТОГ!$B$3^2</f>
        <v>87.498967050596079</v>
      </c>
    </row>
    <row r="20" spans="1:17" x14ac:dyDescent="0.3">
      <c r="A20" s="7" t="s">
        <v>26</v>
      </c>
      <c r="B20" s="4">
        <v>54</v>
      </c>
      <c r="C20" s="22">
        <v>633</v>
      </c>
      <c r="D20" s="22">
        <v>640</v>
      </c>
      <c r="E20" s="4">
        <v>1273</v>
      </c>
      <c r="F20" s="8">
        <v>2.8090383512070258</v>
      </c>
      <c r="G20" s="6">
        <v>1702.7140600315961</v>
      </c>
      <c r="H20" s="6">
        <v>1688.5125</v>
      </c>
      <c r="I20" s="6">
        <v>14.201560031595591</v>
      </c>
      <c r="J20" s="14">
        <v>2565.132439533973</v>
      </c>
      <c r="K20" s="14">
        <v>2628.01249032338</v>
      </c>
      <c r="L20" s="6">
        <v>9.7555656950156625E-2</v>
      </c>
      <c r="M20" s="5">
        <v>0.92230051833342097</v>
      </c>
      <c r="N20" s="4" t="s">
        <v>24</v>
      </c>
      <c r="O20" s="21">
        <f>(J20^2+K20^2)*(1.96+0.84)^2/ИТОГ!$B$3^2</f>
        <v>105.73301600009839</v>
      </c>
      <c r="P20" s="17">
        <f t="shared" si="0"/>
        <v>534.26698399990164</v>
      </c>
      <c r="Q20" s="21">
        <f>16* MIN(J20,K20)^2 / ИТОГ!$B$3^2</f>
        <v>105.27847091759219</v>
      </c>
    </row>
    <row r="21" spans="1:17" x14ac:dyDescent="0.3">
      <c r="A21" s="7" t="s">
        <v>26</v>
      </c>
      <c r="B21" s="4">
        <v>55</v>
      </c>
      <c r="C21" s="22">
        <v>422</v>
      </c>
      <c r="D21" s="22">
        <v>425</v>
      </c>
      <c r="E21" s="4">
        <v>847</v>
      </c>
      <c r="F21" s="8">
        <v>1.869014519616929</v>
      </c>
      <c r="G21" s="6">
        <v>2109.1066350710898</v>
      </c>
      <c r="H21" s="6">
        <v>2111.2729411764708</v>
      </c>
      <c r="I21" s="6">
        <v>-2.1663061053809538</v>
      </c>
      <c r="J21" s="14">
        <v>2790.9933852461841</v>
      </c>
      <c r="K21" s="14">
        <v>2804.2231882427632</v>
      </c>
      <c r="L21" s="6">
        <v>-1.126774587434534E-2</v>
      </c>
      <c r="M21" s="5">
        <v>0.99101248941204068</v>
      </c>
      <c r="N21" s="4" t="s">
        <v>24</v>
      </c>
      <c r="O21" s="21">
        <f>(J21^2+K21^2)*(1.96+0.84)^2/ИТОГ!$B$3^2</f>
        <v>122.72196424517627</v>
      </c>
      <c r="P21" s="17">
        <f t="shared" si="0"/>
        <v>302.27803575482375</v>
      </c>
      <c r="Q21" s="21">
        <f>16* MIN(J21,K21)^2 / ИТОГ!$B$3^2</f>
        <v>124.63430522380727</v>
      </c>
    </row>
    <row r="22" spans="1:17" x14ac:dyDescent="0.3">
      <c r="A22" s="7" t="s">
        <v>19</v>
      </c>
      <c r="B22" s="4">
        <v>112</v>
      </c>
      <c r="C22" s="22">
        <v>652</v>
      </c>
      <c r="D22" s="22">
        <v>683</v>
      </c>
      <c r="E22" s="4">
        <v>1335</v>
      </c>
      <c r="F22" s="8">
        <v>2.9458493313915</v>
      </c>
      <c r="G22" s="6">
        <v>2488.1150306748468</v>
      </c>
      <c r="H22" s="6">
        <v>2218.6368960468521</v>
      </c>
      <c r="I22" s="6">
        <v>269.47813462799468</v>
      </c>
      <c r="J22" s="14">
        <v>2778.1791825699402</v>
      </c>
      <c r="K22" s="14">
        <v>2780.7906600356741</v>
      </c>
      <c r="L22" s="6">
        <v>1.770712015951776</v>
      </c>
      <c r="M22" s="5">
        <v>7.6837103037525542E-2</v>
      </c>
      <c r="N22" s="4" t="s">
        <v>24</v>
      </c>
      <c r="O22" s="21">
        <f>(J22^2+K22^2)*(1.96+0.84)^2/ИТОГ!$B$3^2</f>
        <v>121.13643792078788</v>
      </c>
      <c r="P22" s="17">
        <f t="shared" si="0"/>
        <v>561.8635620792121</v>
      </c>
      <c r="Q22" s="21">
        <f>16* MIN(J22,K22)^2 / ИТОГ!$B$3^2</f>
        <v>123.49247312743969</v>
      </c>
    </row>
    <row r="23" spans="1:17" x14ac:dyDescent="0.3">
      <c r="A23" s="7" t="s">
        <v>19</v>
      </c>
      <c r="B23" s="4">
        <v>394</v>
      </c>
      <c r="C23" s="22">
        <v>104</v>
      </c>
      <c r="D23" s="22">
        <v>85</v>
      </c>
      <c r="E23" s="4">
        <v>189</v>
      </c>
      <c r="F23" s="8">
        <v>0.41705282669138088</v>
      </c>
      <c r="G23" s="6">
        <v>1229.6442307692309</v>
      </c>
      <c r="H23" s="6">
        <v>973.62352941176471</v>
      </c>
      <c r="I23" s="6">
        <v>256.02070135746601</v>
      </c>
      <c r="J23" s="14">
        <v>2208.2278398271669</v>
      </c>
      <c r="K23" s="14">
        <v>1940.8548250244589</v>
      </c>
      <c r="L23" s="6">
        <v>0.83682539191105032</v>
      </c>
      <c r="M23" s="5">
        <v>0.40375884675107382</v>
      </c>
      <c r="N23" s="4" t="s">
        <v>24</v>
      </c>
      <c r="O23" s="21">
        <f>(J23^2+K23^2)*(1.96+0.84)^2/ИТОГ!$B$3^2</f>
        <v>67.76259113216247</v>
      </c>
      <c r="P23" s="17">
        <f t="shared" si="0"/>
        <v>17.23740886783753</v>
      </c>
      <c r="Q23" s="21">
        <f>16* MIN(J23,K23)^2 / ИТОГ!$B$3^2</f>
        <v>60.270679229131574</v>
      </c>
    </row>
    <row r="24" spans="1:17" x14ac:dyDescent="0.3">
      <c r="A24" s="7" t="s">
        <v>19</v>
      </c>
      <c r="B24" s="4">
        <v>309</v>
      </c>
      <c r="C24" s="22">
        <v>240</v>
      </c>
      <c r="D24" s="22">
        <v>238</v>
      </c>
      <c r="E24" s="4">
        <v>478</v>
      </c>
      <c r="F24" s="8">
        <v>1.0547685246480429</v>
      </c>
      <c r="G24" s="6">
        <v>2706.2791666666672</v>
      </c>
      <c r="H24" s="6">
        <v>2392.8949579831929</v>
      </c>
      <c r="I24" s="6">
        <v>313.38420868347339</v>
      </c>
      <c r="J24" s="14">
        <v>2814.9398488604011</v>
      </c>
      <c r="K24" s="14">
        <v>2761.9387158176169</v>
      </c>
      <c r="L24" s="6">
        <v>1.228454613597767</v>
      </c>
      <c r="M24" s="5">
        <v>0.21988338416718509</v>
      </c>
      <c r="N24" s="4" t="s">
        <v>24</v>
      </c>
      <c r="O24" s="21">
        <f>(J24^2+K24^2)*(1.96+0.84)^2/ИТОГ!$B$3^2</f>
        <v>121.92918388945435</v>
      </c>
      <c r="P24" s="17">
        <f t="shared" si="0"/>
        <v>116.07081611054565</v>
      </c>
      <c r="Q24" s="21">
        <f>16* MIN(J24,K24)^2 / ИТОГ!$B$3^2</f>
        <v>122.05288751891626</v>
      </c>
    </row>
    <row r="25" spans="1:17" x14ac:dyDescent="0.3">
      <c r="A25" s="7" t="s">
        <v>19</v>
      </c>
      <c r="B25" s="4">
        <v>576</v>
      </c>
      <c r="C25" s="22">
        <v>630</v>
      </c>
      <c r="D25" s="22">
        <v>657</v>
      </c>
      <c r="E25" s="4">
        <v>1287</v>
      </c>
      <c r="F25" s="8">
        <v>2.8399311531841649</v>
      </c>
      <c r="G25" s="6">
        <v>1594.436507936508</v>
      </c>
      <c r="H25" s="6">
        <v>1342.1293759512939</v>
      </c>
      <c r="I25" s="6">
        <v>252.30713198521431</v>
      </c>
      <c r="J25" s="14">
        <v>2683.7272105777388</v>
      </c>
      <c r="K25" s="14">
        <v>2415.8226638760748</v>
      </c>
      <c r="L25" s="6">
        <v>1.7740729896541769</v>
      </c>
      <c r="M25" s="5">
        <v>7.6287833758135845E-2</v>
      </c>
      <c r="N25" s="4" t="s">
        <v>24</v>
      </c>
      <c r="O25" s="21">
        <f>(J25^2+K25^2)*(1.96+0.84)^2/ИТОГ!$B$3^2</f>
        <v>102.2225525312865</v>
      </c>
      <c r="P25" s="17">
        <f t="shared" si="0"/>
        <v>554.77744746871349</v>
      </c>
      <c r="Q25" s="21">
        <f>16* MIN(J25,K25)^2 / ИТОГ!$B$3^2</f>
        <v>93.3791862927567</v>
      </c>
    </row>
    <row r="26" spans="1:17" x14ac:dyDescent="0.3">
      <c r="A26" s="7" t="s">
        <v>27</v>
      </c>
      <c r="B26" s="4">
        <v>80</v>
      </c>
      <c r="C26" s="22">
        <v>844</v>
      </c>
      <c r="D26" s="22">
        <v>880</v>
      </c>
      <c r="E26" s="4">
        <v>1724</v>
      </c>
      <c r="F26" s="8">
        <v>3.804227900613443</v>
      </c>
      <c r="G26" s="6">
        <v>2517.3305687203788</v>
      </c>
      <c r="H26" s="6">
        <v>2511.9727272727268</v>
      </c>
      <c r="I26" s="6">
        <v>5.3578414476519356</v>
      </c>
      <c r="J26" s="14">
        <v>2797.1230332385999</v>
      </c>
      <c r="K26" s="14">
        <v>2824.719932223567</v>
      </c>
      <c r="L26" s="6">
        <v>3.9558086467205961E-2</v>
      </c>
      <c r="M26" s="5">
        <v>0.96845002895143795</v>
      </c>
      <c r="N26" s="4" t="s">
        <v>24</v>
      </c>
      <c r="O26" s="21">
        <f>(J26^2+K26^2)*(1.96+0.84)^2/ИТОГ!$B$3^2</f>
        <v>123.89504927522813</v>
      </c>
      <c r="P26" s="17">
        <f t="shared" si="0"/>
        <v>756.10495072477192</v>
      </c>
      <c r="Q26" s="21">
        <f>16* MIN(J26,K26)^2 / ИТОГ!$B$3^2</f>
        <v>125.18235620918249</v>
      </c>
    </row>
    <row r="27" spans="1:17" x14ac:dyDescent="0.3">
      <c r="A27" s="7" t="s">
        <v>27</v>
      </c>
      <c r="B27" s="4">
        <v>82</v>
      </c>
      <c r="C27" s="22">
        <v>169</v>
      </c>
      <c r="D27" s="22">
        <v>229</v>
      </c>
      <c r="E27" s="4">
        <v>398</v>
      </c>
      <c r="F27" s="8">
        <v>0.87823822763581794</v>
      </c>
      <c r="G27" s="6">
        <v>2586.0118343195272</v>
      </c>
      <c r="H27" s="6">
        <v>2655.6724890829701</v>
      </c>
      <c r="I27" s="6">
        <v>-69.660654763442835</v>
      </c>
      <c r="J27" s="14">
        <v>2676.4355627004538</v>
      </c>
      <c r="K27" s="14">
        <v>2929.3636863964912</v>
      </c>
      <c r="L27" s="6">
        <v>-0.2431728557168128</v>
      </c>
      <c r="M27" s="5">
        <v>0.80799740556960586</v>
      </c>
      <c r="N27" s="4" t="s">
        <v>24</v>
      </c>
      <c r="O27" s="21">
        <f>(J27^2+K27^2)*(1.96+0.84)^2/ИТОГ!$B$3^2</f>
        <v>123.43671479917448</v>
      </c>
      <c r="P27" s="17">
        <f t="shared" si="0"/>
        <v>105.56328520082552</v>
      </c>
      <c r="Q27" s="21">
        <f>16* MIN(J27,K27)^2 / ИТОГ!$B$3^2</f>
        <v>114.61291714060313</v>
      </c>
    </row>
    <row r="28" spans="1:17" x14ac:dyDescent="0.3">
      <c r="A28" s="7" t="s">
        <v>28</v>
      </c>
      <c r="B28" s="4">
        <v>69</v>
      </c>
      <c r="C28" s="22">
        <v>75</v>
      </c>
      <c r="D28" s="22">
        <v>78</v>
      </c>
      <c r="E28" s="4">
        <v>153</v>
      </c>
      <c r="F28" s="8">
        <v>0.33761419303587981</v>
      </c>
      <c r="G28" s="6">
        <v>1171.4533333333329</v>
      </c>
      <c r="H28" s="6">
        <v>600.15384615384619</v>
      </c>
      <c r="I28" s="6">
        <v>571.29948717948719</v>
      </c>
      <c r="J28" s="14">
        <v>2578.1041027632468</v>
      </c>
      <c r="K28" s="14">
        <v>1690.1397550523429</v>
      </c>
      <c r="L28" s="6">
        <v>1.6270604929283119</v>
      </c>
      <c r="M28" s="5">
        <v>0.105809212549273</v>
      </c>
      <c r="N28" s="4" t="s">
        <v>24</v>
      </c>
      <c r="O28" s="21">
        <f>(J28^2+K28^2)*(1.96+0.84)^2/ИТОГ!$B$3^2</f>
        <v>74.505034345337734</v>
      </c>
      <c r="P28" s="17">
        <f t="shared" si="0"/>
        <v>3.4949656546622663</v>
      </c>
      <c r="Q28" s="21">
        <f>16* MIN(J28,K28)^2 / ИТОГ!$B$3^2</f>
        <v>45.705158265734298</v>
      </c>
    </row>
    <row r="29" spans="1:17" x14ac:dyDescent="0.3">
      <c r="A29" s="7" t="s">
        <v>29</v>
      </c>
      <c r="B29" s="4">
        <v>73</v>
      </c>
      <c r="C29" s="22">
        <v>187</v>
      </c>
      <c r="D29" s="22">
        <v>167</v>
      </c>
      <c r="E29" s="4">
        <v>354</v>
      </c>
      <c r="F29" s="8">
        <v>0.78114656427909435</v>
      </c>
      <c r="G29" s="6">
        <v>2092.181818181818</v>
      </c>
      <c r="H29" s="6">
        <v>2521.958083832335</v>
      </c>
      <c r="I29" s="6">
        <v>-429.77626565051742</v>
      </c>
      <c r="J29" s="14">
        <v>2530.2746480809951</v>
      </c>
      <c r="K29" s="14">
        <v>2875.45963293559</v>
      </c>
      <c r="L29" s="6">
        <v>-1.4958446791905911</v>
      </c>
      <c r="M29" s="5">
        <v>0.13559014690618429</v>
      </c>
      <c r="N29" s="4" t="s">
        <v>24</v>
      </c>
      <c r="O29" s="21">
        <f>(J29^2+K29^2)*(1.96+0.84)^2/ИТОГ!$B$3^2</f>
        <v>115.01717389964968</v>
      </c>
      <c r="P29" s="17">
        <f t="shared" si="0"/>
        <v>51.982826100350323</v>
      </c>
      <c r="Q29" s="21">
        <f>16* MIN(J29,K29)^2 / ИТОГ!$B$3^2</f>
        <v>102.43663671554246</v>
      </c>
    </row>
    <row r="30" spans="1:17" x14ac:dyDescent="0.3">
      <c r="A30" s="7" t="s">
        <v>29</v>
      </c>
      <c r="B30" s="4">
        <v>72</v>
      </c>
      <c r="C30" s="22">
        <v>609</v>
      </c>
      <c r="D30" s="22">
        <v>639</v>
      </c>
      <c r="E30" s="4">
        <v>1248</v>
      </c>
      <c r="F30" s="8">
        <v>2.753872633390706</v>
      </c>
      <c r="G30" s="6">
        <v>2371.4334975369461</v>
      </c>
      <c r="H30" s="6">
        <v>2523.3755868544599</v>
      </c>
      <c r="I30" s="6">
        <v>-151.9420893175143</v>
      </c>
      <c r="J30" s="14">
        <v>2906.8244575313529</v>
      </c>
      <c r="K30" s="14">
        <v>2795.9171755336051</v>
      </c>
      <c r="L30" s="6">
        <v>-0.94123363535756777</v>
      </c>
      <c r="M30" s="5">
        <v>0.3467675852041211</v>
      </c>
      <c r="N30" s="4" t="s">
        <v>24</v>
      </c>
      <c r="O30" s="21">
        <f>(J30^2+K30^2)*(1.96+0.84)^2/ИТОГ!$B$3^2</f>
        <v>127.53156523007463</v>
      </c>
      <c r="P30" s="17">
        <f t="shared" si="0"/>
        <v>511.46843476992535</v>
      </c>
      <c r="Q30" s="21">
        <f>16* MIN(J30,K30)^2 / ИТОГ!$B$3^2</f>
        <v>125.074445639101</v>
      </c>
    </row>
    <row r="31" spans="1:17" x14ac:dyDescent="0.3">
      <c r="A31" s="7" t="s">
        <v>30</v>
      </c>
      <c r="B31" s="4">
        <v>88</v>
      </c>
      <c r="C31" s="22">
        <v>190</v>
      </c>
      <c r="D31" s="22">
        <v>167</v>
      </c>
      <c r="E31" s="4">
        <v>357</v>
      </c>
      <c r="F31" s="8">
        <v>0.78776645041705273</v>
      </c>
      <c r="G31" s="6">
        <v>2902.410526315789</v>
      </c>
      <c r="H31" s="6">
        <v>2439.4610778443121</v>
      </c>
      <c r="I31" s="6">
        <v>462.94944847147781</v>
      </c>
      <c r="J31" s="14">
        <v>3074.648886892026</v>
      </c>
      <c r="K31" s="14">
        <v>2689.3430530913829</v>
      </c>
      <c r="L31" s="6">
        <v>1.5045563456740749</v>
      </c>
      <c r="M31" s="5">
        <v>0.1333273246710206</v>
      </c>
      <c r="N31" s="4" t="s">
        <v>24</v>
      </c>
      <c r="O31" s="21">
        <f>(J31^2+K31^2)*(1.96+0.84)^2/ИТОГ!$B$3^2</f>
        <v>130.81848958543767</v>
      </c>
      <c r="P31" s="17">
        <f t="shared" si="0"/>
        <v>36.181510414562325</v>
      </c>
      <c r="Q31" s="21">
        <f>16* MIN(J31,K31)^2 / ИТОГ!$B$3^2</f>
        <v>115.72105691537409</v>
      </c>
    </row>
    <row r="32" spans="1:17" x14ac:dyDescent="0.3">
      <c r="A32" s="7" t="s">
        <v>31</v>
      </c>
      <c r="B32" s="4">
        <v>19</v>
      </c>
      <c r="C32" s="22">
        <v>130</v>
      </c>
      <c r="D32" s="22">
        <v>146</v>
      </c>
      <c r="E32" s="4">
        <v>276</v>
      </c>
      <c r="F32" s="8">
        <v>0.60902952469217531</v>
      </c>
      <c r="G32" s="6">
        <v>2043.823076923077</v>
      </c>
      <c r="H32" s="6">
        <v>1743.3767123287671</v>
      </c>
      <c r="I32" s="6">
        <v>300.4463645943099</v>
      </c>
      <c r="J32" s="14">
        <v>2442.2667875313782</v>
      </c>
      <c r="K32" s="14">
        <v>2891.3333593759398</v>
      </c>
      <c r="L32" s="6">
        <v>0.92645906346779439</v>
      </c>
      <c r="M32" s="5">
        <v>0.35502276486047568</v>
      </c>
      <c r="N32" s="4" t="s">
        <v>24</v>
      </c>
      <c r="O32" s="21">
        <f>(J32^2+K32^2)*(1.96+0.84)^2/ИТОГ!$B$3^2</f>
        <v>112.30388914710892</v>
      </c>
      <c r="P32" s="17">
        <f t="shared" si="0"/>
        <v>33.696110852891081</v>
      </c>
      <c r="Q32" s="21">
        <f>16* MIN(J32,K32)^2 / ИТОГ!$B$3^2</f>
        <v>95.434672983661414</v>
      </c>
    </row>
    <row r="33" spans="5:17" x14ac:dyDescent="0.3">
      <c r="E33" s="31"/>
      <c r="Q33" s="32">
        <f>SUM(Q2:Q32)</f>
        <v>3800.5684779663316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ИТОГ</vt:lpstr>
      <vt:lpstr>Growth</vt:lpstr>
      <vt:lpstr>Decline</vt:lpstr>
      <vt:lpstr>No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2026-04-02T06:35:30Z</dcterms:created>
  <dcterms:modified xsi:type="dcterms:W3CDTF">2026-04-18T19:55:13Z</dcterms:modified>
</cp:coreProperties>
</file>